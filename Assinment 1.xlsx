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nod\Desktop\"/>
    </mc:Choice>
  </mc:AlternateContent>
  <xr:revisionPtr revIDLastSave="0" documentId="8_{0AA6E88A-3DCF-456D-B55E-76D815CC787C}" xr6:coauthVersionLast="47" xr6:coauthVersionMax="47" xr10:uidLastSave="{00000000-0000-0000-0000-000000000000}"/>
  <bookViews>
    <workbookView xWindow="-120" yWindow="-120" windowWidth="20730" windowHeight="11160" xr2:uid="{E2239579-D3CF-4CA5-BDE1-666F86897798}"/>
  </bookViews>
  <sheets>
    <sheet name="ASSINMENT 1" sheetId="2" r:id="rId1"/>
    <sheet name="Instructions 1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G2" i="2" l="1"/>
  <c r="H2" i="2"/>
  <c r="I2" i="2"/>
  <c r="J2" i="2"/>
  <c r="G3" i="2"/>
  <c r="H3" i="2"/>
  <c r="I3" i="2"/>
  <c r="J3" i="2"/>
  <c r="G4" i="2"/>
  <c r="H4" i="2"/>
  <c r="I4" i="2"/>
  <c r="J4" i="2"/>
  <c r="G5" i="2"/>
  <c r="H5" i="2"/>
  <c r="I5" i="2"/>
  <c r="J5" i="2"/>
  <c r="M5" i="2"/>
  <c r="G6" i="2"/>
  <c r="H6" i="2"/>
  <c r="I6" i="2"/>
  <c r="J6" i="2"/>
  <c r="G7" i="2"/>
  <c r="H7" i="2"/>
  <c r="I7" i="2"/>
  <c r="J7" i="2"/>
  <c r="G8" i="2"/>
  <c r="H8" i="2"/>
  <c r="I8" i="2"/>
  <c r="J8" i="2"/>
  <c r="G9" i="2"/>
  <c r="H9" i="2"/>
  <c r="I9" i="2"/>
  <c r="J9" i="2"/>
  <c r="G10" i="2"/>
  <c r="H10" i="2"/>
  <c r="I10" i="2"/>
  <c r="J10" i="2"/>
  <c r="G11" i="2"/>
  <c r="H11" i="2"/>
  <c r="I11" i="2"/>
  <c r="J11" i="2"/>
  <c r="G12" i="2"/>
  <c r="H12" i="2"/>
  <c r="I12" i="2"/>
  <c r="J12" i="2"/>
  <c r="G13" i="2"/>
  <c r="H13" i="2"/>
  <c r="I13" i="2"/>
  <c r="J13" i="2"/>
  <c r="G14" i="2"/>
  <c r="H14" i="2"/>
  <c r="I14" i="2"/>
  <c r="J14" i="2"/>
  <c r="N14" i="2"/>
  <c r="G15" i="2"/>
  <c r="H15" i="2"/>
  <c r="I15" i="2"/>
  <c r="J15" i="2"/>
  <c r="G16" i="2"/>
  <c r="H16" i="2"/>
  <c r="I16" i="2"/>
  <c r="J16" i="2"/>
  <c r="G17" i="2"/>
  <c r="H17" i="2"/>
  <c r="I17" i="2"/>
  <c r="J17" i="2"/>
  <c r="G18" i="2"/>
  <c r="H18" i="2"/>
  <c r="I18" i="2"/>
  <c r="J18" i="2"/>
  <c r="G19" i="2"/>
  <c r="H19" i="2"/>
  <c r="I19" i="2"/>
  <c r="J19" i="2"/>
  <c r="G20" i="2"/>
  <c r="H20" i="2"/>
  <c r="I20" i="2"/>
  <c r="J20" i="2"/>
  <c r="G21" i="2"/>
  <c r="H21" i="2"/>
  <c r="I21" i="2"/>
  <c r="J21" i="2"/>
  <c r="G22" i="2"/>
  <c r="H22" i="2"/>
  <c r="I22" i="2"/>
  <c r="J22" i="2"/>
  <c r="M22" i="2"/>
  <c r="G23" i="2"/>
  <c r="H23" i="2"/>
  <c r="I23" i="2"/>
  <c r="J23" i="2"/>
  <c r="G24" i="2"/>
  <c r="H24" i="2"/>
  <c r="I24" i="2"/>
  <c r="J24" i="2"/>
  <c r="G25" i="2"/>
  <c r="H25" i="2"/>
  <c r="I25" i="2"/>
  <c r="J25" i="2"/>
  <c r="G26" i="2"/>
  <c r="H26" i="2"/>
  <c r="I26" i="2"/>
  <c r="J26" i="2"/>
  <c r="M26" i="2"/>
  <c r="G27" i="2"/>
  <c r="H27" i="2"/>
  <c r="I27" i="2"/>
  <c r="J27" i="2"/>
  <c r="G28" i="2"/>
  <c r="H28" i="2"/>
  <c r="I28" i="2"/>
  <c r="J28" i="2"/>
  <c r="G29" i="2"/>
  <c r="H29" i="2"/>
  <c r="I29" i="2"/>
  <c r="J29" i="2"/>
  <c r="G30" i="2"/>
  <c r="H30" i="2"/>
  <c r="I30" i="2"/>
  <c r="J30" i="2"/>
  <c r="G31" i="2"/>
  <c r="H31" i="2"/>
  <c r="I31" i="2"/>
  <c r="J31" i="2"/>
  <c r="G32" i="2"/>
  <c r="H32" i="2"/>
  <c r="I32" i="2"/>
  <c r="J32" i="2"/>
  <c r="G33" i="2"/>
  <c r="H33" i="2"/>
  <c r="I33" i="2"/>
  <c r="J33" i="2"/>
  <c r="G34" i="2"/>
  <c r="H34" i="2"/>
  <c r="I34" i="2"/>
  <c r="J34" i="2"/>
  <c r="G35" i="2"/>
  <c r="H35" i="2"/>
  <c r="I35" i="2"/>
  <c r="J35" i="2"/>
  <c r="B42" i="2"/>
  <c r="N10" i="2" s="1"/>
  <c r="B46" i="2"/>
</calcChain>
</file>

<file path=xl/sharedStrings.xml><?xml version="1.0" encoding="utf-8"?>
<sst xmlns="http://schemas.openxmlformats.org/spreadsheetml/2006/main" count="204" uniqueCount="128">
  <si>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</si>
  <si>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</si>
  <si>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</si>
  <si>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</si>
  <si>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</si>
  <si>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</si>
  <si>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</si>
  <si>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</si>
  <si>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</si>
  <si>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</si>
  <si>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</si>
  <si>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</si>
  <si>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</si>
  <si>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</si>
  <si>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</si>
  <si>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</si>
  <si>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</si>
  <si>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 xml:space="preserve">COLOMNS -- J  MOUNTH </t>
  </si>
  <si>
    <t>Q3</t>
  </si>
  <si>
    <t xml:space="preserve">COLOMNS -- I COUNRTY CODE </t>
  </si>
  <si>
    <t>Q2</t>
  </si>
  <si>
    <t>COLOMN - H     DAY</t>
  </si>
  <si>
    <t>ANS</t>
  </si>
  <si>
    <t>Q1</t>
  </si>
  <si>
    <t>COLOMN-G</t>
  </si>
  <si>
    <t>Accessories</t>
  </si>
  <si>
    <t>Casio</t>
  </si>
  <si>
    <t>Watch</t>
  </si>
  <si>
    <t>09-JUL-FR</t>
  </si>
  <si>
    <t>Electronics</t>
  </si>
  <si>
    <t>HP</t>
  </si>
  <si>
    <t>Laptop</t>
  </si>
  <si>
    <t>17-JUN-IN</t>
  </si>
  <si>
    <t>Fashion</t>
  </si>
  <si>
    <t>Levi's</t>
  </si>
  <si>
    <t>Jeans</t>
  </si>
  <si>
    <t>02-DEC-CA</t>
  </si>
  <si>
    <t>Garmin</t>
  </si>
  <si>
    <t>Fitness Tracker</t>
  </si>
  <si>
    <t>24-MAY-CA</t>
  </si>
  <si>
    <t>Kitchen</t>
  </si>
  <si>
    <t>Hamilton</t>
  </si>
  <si>
    <t>Toaster</t>
  </si>
  <si>
    <t>13-APR-CA</t>
  </si>
  <si>
    <t>Q</t>
  </si>
  <si>
    <t>Zara</t>
  </si>
  <si>
    <t>Dress</t>
  </si>
  <si>
    <t>07-MAR-CA</t>
  </si>
  <si>
    <t>Bose</t>
  </si>
  <si>
    <t>Headphones</t>
  </si>
  <si>
    <t>16-APR-ES</t>
  </si>
  <si>
    <t xml:space="preserve">                              3) IF Function:</t>
  </si>
  <si>
    <t>Vitamix</t>
  </si>
  <si>
    <t>Blender</t>
  </si>
  <si>
    <t>11-JUL-CA</t>
  </si>
  <si>
    <t>Ray-Ban</t>
  </si>
  <si>
    <t>Sunglasses</t>
  </si>
  <si>
    <t>03-JUN-CA</t>
  </si>
  <si>
    <t>Google</t>
  </si>
  <si>
    <t>Smartphone</t>
  </si>
  <si>
    <t>29-SEP-CA</t>
  </si>
  <si>
    <t>Samsonite</t>
  </si>
  <si>
    <t>Laptop Bag</t>
  </si>
  <si>
    <t>21-AUG-CA</t>
  </si>
  <si>
    <t>Xiaomi</t>
  </si>
  <si>
    <t>19-JUL-BR</t>
  </si>
  <si>
    <t>Panasonic</t>
  </si>
  <si>
    <t>Microwave</t>
  </si>
  <si>
    <t>09-JAN-CA</t>
  </si>
  <si>
    <t>Nikon</t>
  </si>
  <si>
    <t>Camera</t>
  </si>
  <si>
    <t>14-MAY-RU</t>
  </si>
  <si>
    <t>Outdoor</t>
  </si>
  <si>
    <t>Coleman</t>
  </si>
  <si>
    <t>Camping Tent</t>
  </si>
  <si>
    <t>14-AUG-US</t>
  </si>
  <si>
    <t>. Determine the minimum price among all products.</t>
  </si>
  <si>
    <t>Oakley</t>
  </si>
  <si>
    <t>01-MAR-UK</t>
  </si>
  <si>
    <t>Asus</t>
  </si>
  <si>
    <t>27-JAN-IT</t>
  </si>
  <si>
    <t xml:space="preserve">                                          2) Min and Max:</t>
  </si>
  <si>
    <t>Huawei</t>
  </si>
  <si>
    <t>Smartwatch</t>
  </si>
  <si>
    <t>20-AUG-CN</t>
  </si>
  <si>
    <t>Fitbit</t>
  </si>
  <si>
    <t>18-FEB-CA</t>
  </si>
  <si>
    <t>Nespresso</t>
  </si>
  <si>
    <t>Coffee Maker</t>
  </si>
  <si>
    <t>08-DEC-DE</t>
  </si>
  <si>
    <t>Adidas</t>
  </si>
  <si>
    <t>Sneakers</t>
  </si>
  <si>
    <t>25-NOV-AU</t>
  </si>
  <si>
    <t>Timberland</t>
  </si>
  <si>
    <t>Hiking Boots</t>
  </si>
  <si>
    <t>14-OCT-UK</t>
  </si>
  <si>
    <t>Apple</t>
  </si>
  <si>
    <t>Tablet</t>
  </si>
  <si>
    <t>05-SEP-UK</t>
  </si>
  <si>
    <t>Ninja</t>
  </si>
  <si>
    <t>23-AUG-UK</t>
  </si>
  <si>
    <t>T-shirt</t>
  </si>
  <si>
    <t>19-JUL-UK</t>
  </si>
  <si>
    <t>Sony</t>
  </si>
  <si>
    <t>07-JUN-UK</t>
  </si>
  <si>
    <t>North Face</t>
  </si>
  <si>
    <t>Backpack</t>
  </si>
  <si>
    <t>22-MAY-US</t>
  </si>
  <si>
    <t>Samsung</t>
  </si>
  <si>
    <t>11-APR-US</t>
  </si>
  <si>
    <t>Keurig</t>
  </si>
  <si>
    <t>03-MAR-US</t>
  </si>
  <si>
    <t xml:space="preserve">Q1 </t>
  </si>
  <si>
    <t>Nike</t>
  </si>
  <si>
    <t>15-FEB-US</t>
  </si>
  <si>
    <t>Dell</t>
  </si>
  <si>
    <t>28-JAN-US</t>
  </si>
  <si>
    <t>Column2</t>
  </si>
  <si>
    <t xml:space="preserve">MOUNTH </t>
  </si>
  <si>
    <t>COUNTRY CODE</t>
  </si>
  <si>
    <t>DAY</t>
  </si>
  <si>
    <t>PRICE DIFF</t>
  </si>
  <si>
    <t>Category</t>
  </si>
  <si>
    <t>Quantity</t>
  </si>
  <si>
    <t>Price ($)</t>
  </si>
  <si>
    <t>Brand Name</t>
  </si>
  <si>
    <t>Product Name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</si>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</sst>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b/>
      <sz val="20"/>
      <color rgb="FF000000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6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sz val="16"/>
      <color rgb="FF000000"/>
      <name val="Arial"/>
      <family val="2"/>
      <scheme val="minor"/>
    </font>
    <font>
      <sz val="20"/>
      <color rgb="FF000000"/>
      <name val="Arial"/>
      <family val="2"/>
      <scheme val="minor"/>
    </font>
    <font>
      <sz val="10"/>
      <color rgb="FFFFFF00"/>
      <name val="Arial"/>
      <family val="2"/>
    </font>
    <font>
      <b/>
      <sz val="10"/>
      <color rgb="FFFFFF00"/>
      <name val="Arial"/>
      <family val="2"/>
    </font>
    <font>
      <b/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rgb="FF800080"/>
      </patternFill>
    </fill>
    <fill>
      <patternFill patternType="solid">
        <fgColor rgb="FF008000"/>
      </patternFill>
    </fill>
    <fill>
      <patternFill patternType="solid">
        <fgColor rgb="FFFF0000"/>
      </patternFill>
    </fill>
    <fill>
      <patternFill patternType="solid">
        <fgColor rgb="FF4DD0E1"/>
        <bgColor rgb="FF4DD0E1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8">
    <xf numFmtId="0" fontId="0" fillId="0" borderId="0" xfId="0"/>
    <xf numFmtId="0" fontId="2" fillId="0" borderId="0" xfId="0" applyFont="1"/>
    <xf numFmtId="0" fontId="3" fillId="0" borderId="0" xfId="1" applyFont="1"/>
    <xf numFmtId="0" fontId="3" fillId="0" borderId="0" xfId="0" applyFont="1"/>
    <xf numFmtId="0" fontId="4" fillId="0" borderId="0" xfId="1" applyFont="1"/>
    <xf numFmtId="0" fontId="4" fillId="0" borderId="0" xfId="0" applyFont="1"/>
    <xf numFmtId="0" fontId="1" fillId="0" borderId="0" xfId="1"/>
    <xf numFmtId="0" fontId="5" fillId="0" borderId="0" xfId="0" applyFont="1"/>
    <xf numFmtId="0" fontId="4" fillId="4" borderId="0" xfId="0" applyFont="1" applyFill="1"/>
    <xf numFmtId="0" fontId="0" fillId="2" borderId="0" xfId="0" applyFill="1"/>
    <xf numFmtId="0" fontId="0" fillId="3" borderId="0" xfId="0" applyFill="1"/>
    <xf numFmtId="0" fontId="11" fillId="4" borderId="0" xfId="0" applyFont="1" applyFill="1" applyAlignment="1">
      <alignment horizontal="center"/>
    </xf>
    <xf numFmtId="0" fontId="11" fillId="4" borderId="0" xfId="0" applyFont="1" applyFill="1"/>
    <xf numFmtId="0" fontId="11" fillId="4" borderId="2" xfId="0" applyFont="1" applyFill="1" applyBorder="1"/>
    <xf numFmtId="0" fontId="6" fillId="0" borderId="0" xfId="0" applyFont="1" applyAlignment="1">
      <alignment horizontal="center"/>
    </xf>
    <xf numFmtId="0" fontId="6" fillId="6" borderId="3" xfId="0" applyFont="1" applyFill="1" applyBorder="1"/>
    <xf numFmtId="0" fontId="6" fillId="6" borderId="1" xfId="0" applyFont="1" applyFill="1" applyBorder="1"/>
    <xf numFmtId="0" fontId="6" fillId="6" borderId="4" xfId="0" applyFont="1" applyFill="1" applyBorder="1"/>
    <xf numFmtId="0" fontId="6" fillId="6" borderId="5" xfId="0" applyFont="1" applyFill="1" applyBorder="1"/>
    <xf numFmtId="0" fontId="6" fillId="0" borderId="1" xfId="0" applyFont="1" applyBorder="1"/>
    <xf numFmtId="0" fontId="6" fillId="0" borderId="4" xfId="0" applyFont="1" applyBorder="1"/>
    <xf numFmtId="0" fontId="6" fillId="0" borderId="5" xfId="0" applyFont="1" applyBorder="1"/>
    <xf numFmtId="0" fontId="6" fillId="7" borderId="0" xfId="0" applyFont="1" applyFill="1"/>
    <xf numFmtId="0" fontId="6" fillId="0" borderId="0" xfId="0" applyFont="1"/>
    <xf numFmtId="0" fontId="6" fillId="9" borderId="7" xfId="0" applyFont="1" applyFill="1" applyBorder="1"/>
    <xf numFmtId="0" fontId="6" fillId="10" borderId="5" xfId="0" applyFont="1" applyFill="1" applyBorder="1"/>
    <xf numFmtId="0" fontId="6" fillId="9" borderId="5" xfId="0" applyFont="1" applyFill="1" applyBorder="1"/>
    <xf numFmtId="0" fontId="6" fillId="10" borderId="0" xfId="0" applyFont="1" applyFill="1"/>
    <xf numFmtId="0" fontId="0" fillId="9" borderId="0" xfId="0" applyFill="1"/>
    <xf numFmtId="0" fontId="0" fillId="0" borderId="0" xfId="0" applyAlignment="1">
      <alignment horizontal="left" wrapText="1"/>
    </xf>
    <xf numFmtId="0" fontId="6" fillId="6" borderId="10" xfId="0" applyFont="1" applyFill="1" applyBorder="1"/>
    <xf numFmtId="0" fontId="0" fillId="0" borderId="1" xfId="0" applyBorder="1"/>
    <xf numFmtId="0" fontId="15" fillId="11" borderId="0" xfId="0" applyFont="1" applyFill="1" applyAlignment="1">
      <alignment horizontal="center"/>
    </xf>
    <xf numFmtId="0" fontId="15" fillId="11" borderId="5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14" fillId="8" borderId="0" xfId="0" applyFont="1" applyFill="1" applyAlignment="1">
      <alignment horizontal="center"/>
    </xf>
    <xf numFmtId="0" fontId="13" fillId="8" borderId="5" xfId="0" applyFont="1" applyFill="1" applyBorder="1"/>
    <xf numFmtId="0" fontId="0" fillId="10" borderId="0" xfId="0" applyFill="1"/>
    <xf numFmtId="0" fontId="0" fillId="9" borderId="5" xfId="0" applyFill="1" applyBorder="1"/>
    <xf numFmtId="0" fontId="0" fillId="10" borderId="9" xfId="0" applyFill="1" applyBorder="1"/>
    <xf numFmtId="0" fontId="0" fillId="10" borderId="8" xfId="0" applyFill="1" applyBorder="1"/>
    <xf numFmtId="0" fontId="4" fillId="3" borderId="1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3" fillId="8" borderId="0" xfId="0" applyFont="1" applyFill="1"/>
    <xf numFmtId="0" fontId="12" fillId="3" borderId="6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0" fillId="10" borderId="5" xfId="0" applyFill="1" applyBorder="1" applyAlignment="1">
      <alignment horizontal="left"/>
    </xf>
    <xf numFmtId="0" fontId="6" fillId="9" borderId="0" xfId="0" applyFont="1" applyFill="1"/>
    <xf numFmtId="0" fontId="0" fillId="2" borderId="1" xfId="0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4" fillId="3" borderId="1" xfId="0" applyFont="1" applyFill="1" applyBorder="1" applyAlignment="1">
      <alignment horizontal="center" wrapText="1"/>
    </xf>
  </cellXfs>
  <cellStyles count="2">
    <cellStyle name="Normal" xfId="0" builtinId="0"/>
    <cellStyle name="Normal 3" xfId="1" xr:uid="{81E1935C-85A6-49AF-839A-2427B9C9A0C2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08607B-D9FF-4DE7-A3FA-08540641F51F}" name="Table1" displayName="Table1" ref="A1:K35" totalsRowShown="0">
  <autoFilter ref="A1:K35" xr:uid="{00000000-0009-0000-0100-000001000000}"/>
  <tableColumns count="11">
    <tableColumn id="1" xr3:uid="{00000000-0010-0000-0000-000001000000}" name="Product ID"/>
    <tableColumn id="2" xr3:uid="{00000000-0010-0000-0000-000002000000}" name="Product Name"/>
    <tableColumn id="3" xr3:uid="{00000000-0010-0000-0000-000003000000}" name="Brand Name"/>
    <tableColumn id="4" xr3:uid="{00000000-0010-0000-0000-000004000000}" name="Price ($)"/>
    <tableColumn id="5" xr3:uid="{00000000-0010-0000-0000-000005000000}" name="Quantity"/>
    <tableColumn id="6" xr3:uid="{00000000-0010-0000-0000-000006000000}" name="Category"/>
    <tableColumn id="8" xr3:uid="{AFD23BD0-ED15-4E88-B7E1-DF6AFE6398A6}" name="PRICE DIFF" dataDxfId="4">
      <calculatedColumnFormula>IF(D2&gt;=500,"High Price","Standard Price")</calculatedColumnFormula>
    </tableColumn>
    <tableColumn id="9" xr3:uid="{E5F32B58-77A0-4FFA-946B-382D3655A22C}" name="DAY" dataDxfId="3">
      <calculatedColumnFormula>LEFT(A2,2)</calculatedColumnFormula>
    </tableColumn>
    <tableColumn id="7" xr3:uid="{E23FF94F-F180-4F4E-AE95-8BF42AED476C}" name="COUNTRY CODE" dataDxfId="2">
      <calculatedColumnFormula>RIGHT(A2,2)</calculatedColumnFormula>
    </tableColumn>
    <tableColumn id="12" xr3:uid="{3E06F600-1D36-4C29-92BA-4F421C721928}" name="MOUNTH " dataDxfId="1">
      <calculatedColumnFormula>MID(A2,4,3)</calculatedColumnFormula>
    </tableColumn>
    <tableColumn id="13" xr3:uid="{1A7635F9-441E-4508-BB31-80C8F8519BE8}" name="Column2" dataDxfId="0"/>
  </tableColumns>
  <tableStyleInfo name="TableStyleDark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EA00-A994-4DC7-B542-4B0CC9100C77}">
  <sheetPr>
    <outlinePr summaryBelow="0" summaryRight="0"/>
  </sheetPr>
  <dimension ref="A1:W1001"/>
  <sheetViews>
    <sheetView tabSelected="1" workbookViewId="0">
      <selection activeCell="G36" sqref="G36"/>
    </sheetView>
  </sheetViews>
  <sheetFormatPr defaultColWidth="12.5703125" defaultRowHeight="15" customHeight="1" x14ac:dyDescent="0.2"/>
  <cols>
    <col min="1" max="1" width="15" bestFit="1" customWidth="1"/>
    <col min="2" max="2" width="18.42578125" bestFit="1" customWidth="1"/>
    <col min="3" max="3" width="16.85546875" bestFit="1" customWidth="1"/>
    <col min="4" max="4" width="13" bestFit="1" customWidth="1"/>
    <col min="5" max="5" width="13.140625" bestFit="1" customWidth="1"/>
    <col min="6" max="6" width="13.7109375" bestFit="1" customWidth="1"/>
    <col min="7" max="7" width="17" customWidth="1"/>
    <col min="8" max="8" width="13.7109375" customWidth="1"/>
    <col min="9" max="9" width="20.28515625" bestFit="1" customWidth="1"/>
    <col min="10" max="10" width="20.28515625" customWidth="1"/>
    <col min="11" max="11" width="13.5703125" bestFit="1" customWidth="1"/>
    <col min="13" max="13" width="33.42578125" customWidth="1"/>
  </cols>
  <sheetData>
    <row r="1" spans="1:14" ht="15.75" customHeight="1" x14ac:dyDescent="0.2">
      <c r="A1" s="33" t="s">
        <v>127</v>
      </c>
      <c r="B1" s="33" t="s">
        <v>126</v>
      </c>
      <c r="C1" s="33" t="s">
        <v>125</v>
      </c>
      <c r="D1" s="33" t="s">
        <v>124</v>
      </c>
      <c r="E1" s="33" t="s">
        <v>123</v>
      </c>
      <c r="F1" s="33" t="s">
        <v>122</v>
      </c>
      <c r="G1" s="32" t="s">
        <v>121</v>
      </c>
      <c r="H1" s="32" t="s">
        <v>120</v>
      </c>
      <c r="I1" s="32" t="s">
        <v>119</v>
      </c>
      <c r="J1" s="32" t="s">
        <v>118</v>
      </c>
      <c r="K1" s="32" t="s">
        <v>117</v>
      </c>
      <c r="L1" s="38" t="s">
        <v>1</v>
      </c>
      <c r="M1" s="38"/>
      <c r="N1" s="38"/>
    </row>
    <row r="2" spans="1:14" ht="12.75" customHeight="1" x14ac:dyDescent="0.2">
      <c r="A2" s="21" t="s">
        <v>116</v>
      </c>
      <c r="B2" s="21" t="s">
        <v>31</v>
      </c>
      <c r="C2" s="21" t="s">
        <v>115</v>
      </c>
      <c r="D2" s="21">
        <v>1000</v>
      </c>
      <c r="E2" s="21">
        <v>30</v>
      </c>
      <c r="F2" s="20" t="s">
        <v>29</v>
      </c>
      <c r="G2" s="19" t="str">
        <f t="shared" ref="G2:G35" si="0">IF(D2&gt;=500,"High Price","Standard Price")</f>
        <v>High Price</v>
      </c>
      <c r="H2" s="19" t="str">
        <f t="shared" ref="H2:H35" si="1">LEFT(A2,2)</f>
        <v>28</v>
      </c>
      <c r="I2" s="31" t="str">
        <f t="shared" ref="I2:I35" si="2">RIGHT(A2,2)</f>
        <v>US</v>
      </c>
      <c r="J2" t="str">
        <f t="shared" ref="J2:J35" si="3">MID(A2,4,3)</f>
        <v>JAN</v>
      </c>
      <c r="K2" s="30"/>
      <c r="L2" s="23"/>
    </row>
    <row r="3" spans="1:14" ht="12.75" customHeight="1" x14ac:dyDescent="0.2">
      <c r="A3" s="18" t="s">
        <v>114</v>
      </c>
      <c r="B3" s="18" t="s">
        <v>91</v>
      </c>
      <c r="C3" s="18" t="s">
        <v>113</v>
      </c>
      <c r="D3" s="18">
        <v>80</v>
      </c>
      <c r="E3" s="18">
        <v>15</v>
      </c>
      <c r="F3" s="17" t="s">
        <v>33</v>
      </c>
      <c r="G3" s="16" t="str">
        <f t="shared" si="0"/>
        <v>Standard Price</v>
      </c>
      <c r="H3" s="16" t="str">
        <f t="shared" si="1"/>
        <v>15</v>
      </c>
      <c r="I3" s="16" t="str">
        <f t="shared" si="2"/>
        <v>US</v>
      </c>
      <c r="J3" t="str">
        <f t="shared" si="3"/>
        <v>FEB</v>
      </c>
      <c r="K3" s="16"/>
      <c r="L3" s="27" t="s">
        <v>112</v>
      </c>
      <c r="M3" s="50" t="s">
        <v>2</v>
      </c>
      <c r="N3" s="50"/>
    </row>
    <row r="4" spans="1:14" ht="12.75" customHeight="1" x14ac:dyDescent="0.2">
      <c r="A4" s="21" t="s">
        <v>111</v>
      </c>
      <c r="B4" s="21" t="s">
        <v>88</v>
      </c>
      <c r="C4" s="21" t="s">
        <v>110</v>
      </c>
      <c r="D4" s="21">
        <v>130</v>
      </c>
      <c r="E4" s="21">
        <v>40</v>
      </c>
      <c r="F4" s="20" t="s">
        <v>40</v>
      </c>
      <c r="G4" s="19" t="str">
        <f t="shared" si="0"/>
        <v>Standard Price</v>
      </c>
      <c r="H4" s="19" t="str">
        <f t="shared" si="1"/>
        <v>03</v>
      </c>
      <c r="I4" s="19" t="str">
        <f t="shared" si="2"/>
        <v>US</v>
      </c>
      <c r="J4" t="str">
        <f t="shared" si="3"/>
        <v>MAR</v>
      </c>
      <c r="K4" s="16"/>
      <c r="L4" s="23"/>
      <c r="M4" s="29"/>
      <c r="N4" s="29"/>
    </row>
    <row r="5" spans="1:14" ht="12.75" customHeight="1" x14ac:dyDescent="0.2">
      <c r="A5" s="18" t="s">
        <v>109</v>
      </c>
      <c r="B5" s="18" t="s">
        <v>59</v>
      </c>
      <c r="C5" s="18" t="s">
        <v>108</v>
      </c>
      <c r="D5" s="18">
        <v>900</v>
      </c>
      <c r="E5" s="18">
        <v>25</v>
      </c>
      <c r="F5" s="17" t="s">
        <v>29</v>
      </c>
      <c r="G5" s="16" t="str">
        <f t="shared" si="0"/>
        <v>High Price</v>
      </c>
      <c r="H5" s="16" t="str">
        <f t="shared" si="1"/>
        <v>11</v>
      </c>
      <c r="I5" s="16" t="str">
        <f t="shared" si="2"/>
        <v>US</v>
      </c>
      <c r="J5" t="str">
        <f t="shared" si="3"/>
        <v>APR</v>
      </c>
      <c r="K5" s="16"/>
      <c r="L5" s="28" t="s">
        <v>22</v>
      </c>
      <c r="M5" s="41">
        <f>SUM(D:D)</f>
        <v>10100</v>
      </c>
      <c r="N5" s="41"/>
    </row>
    <row r="6" spans="1:14" ht="12.75" customHeight="1" x14ac:dyDescent="0.2">
      <c r="A6" s="21" t="s">
        <v>107</v>
      </c>
      <c r="B6" s="21" t="s">
        <v>106</v>
      </c>
      <c r="C6" s="21" t="s">
        <v>105</v>
      </c>
      <c r="D6" s="21">
        <v>70</v>
      </c>
      <c r="E6" s="21">
        <v>20</v>
      </c>
      <c r="F6" s="20" t="s">
        <v>72</v>
      </c>
      <c r="G6" s="19" t="str">
        <f t="shared" si="0"/>
        <v>Standard Price</v>
      </c>
      <c r="H6" s="19" t="str">
        <f t="shared" si="1"/>
        <v>22</v>
      </c>
      <c r="I6" s="19" t="str">
        <f t="shared" si="2"/>
        <v>US</v>
      </c>
      <c r="J6" t="str">
        <f t="shared" si="3"/>
        <v>MAY</v>
      </c>
      <c r="K6" s="16"/>
      <c r="L6" s="23"/>
    </row>
    <row r="7" spans="1:14" ht="12.75" customHeight="1" x14ac:dyDescent="0.2">
      <c r="A7" s="18" t="s">
        <v>104</v>
      </c>
      <c r="B7" s="18" t="s">
        <v>49</v>
      </c>
      <c r="C7" s="18" t="s">
        <v>103</v>
      </c>
      <c r="D7" s="18">
        <v>200</v>
      </c>
      <c r="E7" s="18">
        <v>45</v>
      </c>
      <c r="F7" s="17" t="s">
        <v>29</v>
      </c>
      <c r="G7" s="16" t="str">
        <f t="shared" si="0"/>
        <v>Standard Price</v>
      </c>
      <c r="H7" s="16" t="str">
        <f t="shared" si="1"/>
        <v>07</v>
      </c>
      <c r="I7" s="16" t="str">
        <f t="shared" si="2"/>
        <v>UK</v>
      </c>
      <c r="J7" t="str">
        <f t="shared" si="3"/>
        <v>JUN</v>
      </c>
      <c r="K7" s="16"/>
      <c r="L7" s="23"/>
    </row>
    <row r="8" spans="1:14" ht="12.75" customHeight="1" x14ac:dyDescent="0.2">
      <c r="A8" s="21" t="s">
        <v>102</v>
      </c>
      <c r="B8" s="21" t="s">
        <v>101</v>
      </c>
      <c r="C8" s="21" t="s">
        <v>90</v>
      </c>
      <c r="D8" s="21">
        <v>30</v>
      </c>
      <c r="E8" s="21">
        <v>5</v>
      </c>
      <c r="F8" s="20" t="s">
        <v>33</v>
      </c>
      <c r="G8" s="19" t="str">
        <f t="shared" si="0"/>
        <v>Standard Price</v>
      </c>
      <c r="H8" s="19" t="str">
        <f t="shared" si="1"/>
        <v>19</v>
      </c>
      <c r="I8" s="19" t="str">
        <f t="shared" si="2"/>
        <v>UK</v>
      </c>
      <c r="J8" t="str">
        <f t="shared" si="3"/>
        <v>JUL</v>
      </c>
      <c r="K8" s="16"/>
      <c r="L8" s="27" t="s">
        <v>20</v>
      </c>
      <c r="M8" s="40" t="s">
        <v>3</v>
      </c>
      <c r="N8" s="40"/>
    </row>
    <row r="9" spans="1:14" ht="12.75" customHeight="1" x14ac:dyDescent="0.2">
      <c r="A9" s="18" t="s">
        <v>100</v>
      </c>
      <c r="B9" s="18" t="s">
        <v>53</v>
      </c>
      <c r="C9" s="18" t="s">
        <v>99</v>
      </c>
      <c r="D9" s="18">
        <v>90</v>
      </c>
      <c r="E9" s="18">
        <v>35</v>
      </c>
      <c r="F9" s="17" t="s">
        <v>40</v>
      </c>
      <c r="G9" s="16" t="str">
        <f t="shared" si="0"/>
        <v>Standard Price</v>
      </c>
      <c r="H9" s="16" t="str">
        <f t="shared" si="1"/>
        <v>23</v>
      </c>
      <c r="I9" s="16" t="str">
        <f t="shared" si="2"/>
        <v>UK</v>
      </c>
      <c r="J9" t="str">
        <f t="shared" si="3"/>
        <v>AUG</v>
      </c>
      <c r="K9" s="16"/>
      <c r="L9" s="23"/>
    </row>
    <row r="10" spans="1:14" ht="12.75" customHeight="1" x14ac:dyDescent="0.2">
      <c r="A10" s="21" t="s">
        <v>98</v>
      </c>
      <c r="B10" s="21" t="s">
        <v>97</v>
      </c>
      <c r="C10" s="21" t="s">
        <v>96</v>
      </c>
      <c r="D10" s="21">
        <v>500</v>
      </c>
      <c r="E10" s="21">
        <v>50</v>
      </c>
      <c r="F10" s="20" t="s">
        <v>29</v>
      </c>
      <c r="G10" s="19" t="str">
        <f t="shared" si="0"/>
        <v>High Price</v>
      </c>
      <c r="H10" s="19" t="str">
        <f t="shared" si="1"/>
        <v>05</v>
      </c>
      <c r="I10" s="19" t="str">
        <f t="shared" si="2"/>
        <v>UK</v>
      </c>
      <c r="J10" t="str">
        <f t="shared" si="3"/>
        <v>SEP</v>
      </c>
      <c r="K10" s="16"/>
      <c r="L10" s="28" t="s">
        <v>22</v>
      </c>
      <c r="M10" s="28"/>
      <c r="N10" s="28">
        <f>COUNTA(B:B)</f>
        <v>47</v>
      </c>
    </row>
    <row r="11" spans="1:14" ht="12.75" customHeight="1" x14ac:dyDescent="0.2">
      <c r="A11" s="18" t="s">
        <v>95</v>
      </c>
      <c r="B11" s="18" t="s">
        <v>94</v>
      </c>
      <c r="C11" s="18" t="s">
        <v>93</v>
      </c>
      <c r="D11" s="18">
        <v>130</v>
      </c>
      <c r="E11" s="18">
        <v>10</v>
      </c>
      <c r="F11" s="17" t="s">
        <v>72</v>
      </c>
      <c r="G11" s="16" t="str">
        <f t="shared" si="0"/>
        <v>Standard Price</v>
      </c>
      <c r="H11" s="16" t="str">
        <f t="shared" si="1"/>
        <v>14</v>
      </c>
      <c r="I11" s="16" t="str">
        <f t="shared" si="2"/>
        <v>UK</v>
      </c>
      <c r="J11" t="str">
        <f t="shared" si="3"/>
        <v>OCT</v>
      </c>
      <c r="K11" s="16"/>
      <c r="L11" s="23"/>
    </row>
    <row r="12" spans="1:14" ht="12.75" customHeight="1" x14ac:dyDescent="0.2">
      <c r="A12" s="21" t="s">
        <v>32</v>
      </c>
      <c r="B12" s="21" t="s">
        <v>31</v>
      </c>
      <c r="C12" s="21" t="s">
        <v>30</v>
      </c>
      <c r="D12" s="21">
        <v>950</v>
      </c>
      <c r="E12" s="21">
        <v>25</v>
      </c>
      <c r="F12" s="20" t="s">
        <v>29</v>
      </c>
      <c r="G12" s="19" t="str">
        <f t="shared" si="0"/>
        <v>High Price</v>
      </c>
      <c r="H12" s="19" t="str">
        <f t="shared" si="1"/>
        <v>17</v>
      </c>
      <c r="I12" s="19" t="str">
        <f t="shared" si="2"/>
        <v>IN</v>
      </c>
      <c r="J12" t="str">
        <f t="shared" si="3"/>
        <v>JUN</v>
      </c>
      <c r="K12" s="16"/>
      <c r="L12" s="27" t="s">
        <v>18</v>
      </c>
      <c r="M12" s="40" t="s">
        <v>4</v>
      </c>
      <c r="N12" s="40"/>
    </row>
    <row r="13" spans="1:14" ht="12.75" customHeight="1" x14ac:dyDescent="0.2">
      <c r="A13" s="18" t="s">
        <v>92</v>
      </c>
      <c r="B13" s="18" t="s">
        <v>91</v>
      </c>
      <c r="C13" s="18" t="s">
        <v>90</v>
      </c>
      <c r="D13" s="18">
        <v>90</v>
      </c>
      <c r="E13" s="18">
        <v>40</v>
      </c>
      <c r="F13" s="17" t="s">
        <v>33</v>
      </c>
      <c r="G13" s="16" t="str">
        <f t="shared" si="0"/>
        <v>Standard Price</v>
      </c>
      <c r="H13" s="16" t="str">
        <f t="shared" si="1"/>
        <v>25</v>
      </c>
      <c r="I13" s="16" t="str">
        <f t="shared" si="2"/>
        <v>AU</v>
      </c>
      <c r="J13" t="str">
        <f t="shared" si="3"/>
        <v>NOV</v>
      </c>
      <c r="K13" s="16"/>
      <c r="L13" s="23"/>
    </row>
    <row r="14" spans="1:14" ht="12.75" customHeight="1" x14ac:dyDescent="0.2">
      <c r="A14" s="21" t="s">
        <v>89</v>
      </c>
      <c r="B14" s="21" t="s">
        <v>88</v>
      </c>
      <c r="C14" s="21" t="s">
        <v>87</v>
      </c>
      <c r="D14" s="21">
        <v>120</v>
      </c>
      <c r="E14" s="21">
        <v>35</v>
      </c>
      <c r="F14" s="20" t="s">
        <v>40</v>
      </c>
      <c r="G14" s="19" t="str">
        <f t="shared" si="0"/>
        <v>Standard Price</v>
      </c>
      <c r="H14" s="19" t="str">
        <f t="shared" si="1"/>
        <v>08</v>
      </c>
      <c r="I14" s="19" t="str">
        <f t="shared" si="2"/>
        <v>DE</v>
      </c>
      <c r="J14" t="str">
        <f t="shared" si="3"/>
        <v>DEC</v>
      </c>
      <c r="K14" s="16"/>
      <c r="L14" s="28" t="s">
        <v>22</v>
      </c>
      <c r="M14" s="28"/>
      <c r="N14" s="28">
        <f>AVERAGE(D:D)</f>
        <v>297.05882352941177</v>
      </c>
    </row>
    <row r="15" spans="1:14" ht="12.75" customHeight="1" x14ac:dyDescent="0.2">
      <c r="A15" s="18" t="s">
        <v>86</v>
      </c>
      <c r="B15" s="18" t="s">
        <v>83</v>
      </c>
      <c r="C15" s="18" t="s">
        <v>85</v>
      </c>
      <c r="D15" s="18">
        <v>150</v>
      </c>
      <c r="E15" s="18">
        <v>15</v>
      </c>
      <c r="F15" s="17" t="s">
        <v>29</v>
      </c>
      <c r="G15" s="16" t="str">
        <f t="shared" si="0"/>
        <v>Standard Price</v>
      </c>
      <c r="H15" s="16" t="str">
        <f t="shared" si="1"/>
        <v>18</v>
      </c>
      <c r="I15" s="16" t="str">
        <f t="shared" si="2"/>
        <v>CA</v>
      </c>
      <c r="J15" t="str">
        <f t="shared" si="3"/>
        <v>FEB</v>
      </c>
      <c r="K15" s="16"/>
      <c r="L15" s="23"/>
    </row>
    <row r="16" spans="1:14" ht="12.75" customHeight="1" x14ac:dyDescent="0.2">
      <c r="A16" s="21" t="s">
        <v>50</v>
      </c>
      <c r="B16" s="21" t="s">
        <v>49</v>
      </c>
      <c r="C16" s="21" t="s">
        <v>48</v>
      </c>
      <c r="D16" s="21">
        <v>250</v>
      </c>
      <c r="E16" s="21">
        <v>20</v>
      </c>
      <c r="F16" s="20" t="s">
        <v>29</v>
      </c>
      <c r="G16" s="19" t="str">
        <f t="shared" si="0"/>
        <v>Standard Price</v>
      </c>
      <c r="H16" s="19" t="str">
        <f t="shared" si="1"/>
        <v>16</v>
      </c>
      <c r="I16" s="19" t="str">
        <f t="shared" si="2"/>
        <v>ES</v>
      </c>
      <c r="J16" t="str">
        <f t="shared" si="3"/>
        <v>APR</v>
      </c>
      <c r="K16" s="16"/>
      <c r="L16" s="23"/>
    </row>
    <row r="17" spans="1:23" ht="12.75" customHeight="1" x14ac:dyDescent="0.2">
      <c r="A17" s="18" t="s">
        <v>63</v>
      </c>
      <c r="B17" s="18" t="s">
        <v>62</v>
      </c>
      <c r="C17" s="18" t="s">
        <v>61</v>
      </c>
      <c r="D17" s="18">
        <v>50</v>
      </c>
      <c r="E17" s="18">
        <v>35</v>
      </c>
      <c r="F17" s="17" t="s">
        <v>25</v>
      </c>
      <c r="G17" s="16" t="str">
        <f t="shared" si="0"/>
        <v>Standard Price</v>
      </c>
      <c r="H17" s="16" t="str">
        <f t="shared" si="1"/>
        <v>21</v>
      </c>
      <c r="I17" s="16" t="str">
        <f t="shared" si="2"/>
        <v>CA</v>
      </c>
      <c r="J17" t="str">
        <f t="shared" si="3"/>
        <v>AUG</v>
      </c>
      <c r="K17" s="16"/>
      <c r="L17" s="23"/>
    </row>
    <row r="18" spans="1:23" ht="12.75" customHeight="1" x14ac:dyDescent="0.2">
      <c r="A18" s="21" t="s">
        <v>84</v>
      </c>
      <c r="B18" s="21" t="s">
        <v>83</v>
      </c>
      <c r="C18" s="21" t="s">
        <v>82</v>
      </c>
      <c r="D18" s="21">
        <v>160</v>
      </c>
      <c r="E18" s="21">
        <v>15</v>
      </c>
      <c r="F18" s="20" t="s">
        <v>29</v>
      </c>
      <c r="G18" s="19" t="str">
        <f t="shared" si="0"/>
        <v>Standard Price</v>
      </c>
      <c r="H18" s="19" t="str">
        <f t="shared" si="1"/>
        <v>20</v>
      </c>
      <c r="I18" s="19" t="str">
        <f t="shared" si="2"/>
        <v>CN</v>
      </c>
      <c r="J18" t="str">
        <f t="shared" si="3"/>
        <v>AUG</v>
      </c>
      <c r="K18" s="16"/>
      <c r="L18" s="39" t="s">
        <v>81</v>
      </c>
      <c r="M18" s="39"/>
      <c r="N18" s="39"/>
    </row>
    <row r="19" spans="1:23" ht="12.75" customHeight="1" x14ac:dyDescent="0.2">
      <c r="A19" s="18" t="s">
        <v>80</v>
      </c>
      <c r="B19" s="18" t="s">
        <v>31</v>
      </c>
      <c r="C19" s="18" t="s">
        <v>79</v>
      </c>
      <c r="D19" s="18">
        <v>980</v>
      </c>
      <c r="E19" s="18">
        <v>10</v>
      </c>
      <c r="F19" s="17" t="s">
        <v>29</v>
      </c>
      <c r="G19" s="16" t="str">
        <f t="shared" si="0"/>
        <v>High Price</v>
      </c>
      <c r="H19" s="16" t="str">
        <f t="shared" si="1"/>
        <v>27</v>
      </c>
      <c r="I19" s="16" t="str">
        <f t="shared" si="2"/>
        <v>IT</v>
      </c>
      <c r="J19" t="str">
        <f t="shared" si="3"/>
        <v>JAN</v>
      </c>
      <c r="K19" s="16"/>
      <c r="L19" s="23"/>
    </row>
    <row r="20" spans="1:23" ht="12.75" customHeight="1" x14ac:dyDescent="0.2">
      <c r="A20" s="21" t="s">
        <v>78</v>
      </c>
      <c r="B20" s="21" t="s">
        <v>56</v>
      </c>
      <c r="C20" s="21" t="s">
        <v>77</v>
      </c>
      <c r="D20" s="21">
        <v>150</v>
      </c>
      <c r="E20" s="21">
        <v>15</v>
      </c>
      <c r="F20" s="20" t="s">
        <v>33</v>
      </c>
      <c r="G20" s="19" t="str">
        <f t="shared" si="0"/>
        <v>Standard Price</v>
      </c>
      <c r="H20" s="19" t="str">
        <f t="shared" si="1"/>
        <v>01</v>
      </c>
      <c r="I20" s="19" t="str">
        <f t="shared" si="2"/>
        <v>UK</v>
      </c>
      <c r="J20" t="str">
        <f t="shared" si="3"/>
        <v>MAR</v>
      </c>
      <c r="K20" s="16"/>
      <c r="L20" s="27" t="s">
        <v>23</v>
      </c>
      <c r="M20" s="40" t="s">
        <v>76</v>
      </c>
      <c r="N20" s="40"/>
    </row>
    <row r="21" spans="1:23" ht="12.75" customHeight="1" x14ac:dyDescent="0.2">
      <c r="A21" s="18" t="s">
        <v>75</v>
      </c>
      <c r="B21" s="18" t="s">
        <v>74</v>
      </c>
      <c r="C21" s="18" t="s">
        <v>73</v>
      </c>
      <c r="D21" s="18">
        <v>200</v>
      </c>
      <c r="E21" s="18">
        <v>10</v>
      </c>
      <c r="F21" s="17" t="s">
        <v>72</v>
      </c>
      <c r="G21" s="16" t="str">
        <f t="shared" si="0"/>
        <v>Standard Price</v>
      </c>
      <c r="H21" s="16" t="str">
        <f t="shared" si="1"/>
        <v>14</v>
      </c>
      <c r="I21" s="16" t="str">
        <f t="shared" si="2"/>
        <v>US</v>
      </c>
      <c r="J21" t="str">
        <f t="shared" si="3"/>
        <v>AUG</v>
      </c>
      <c r="K21" s="16"/>
      <c r="L21" s="23"/>
    </row>
    <row r="22" spans="1:23" ht="12.75" customHeight="1" x14ac:dyDescent="0.2">
      <c r="A22" s="21" t="s">
        <v>71</v>
      </c>
      <c r="B22" s="21" t="s">
        <v>70</v>
      </c>
      <c r="C22" s="21" t="s">
        <v>69</v>
      </c>
      <c r="D22" s="21">
        <v>700</v>
      </c>
      <c r="E22" s="21">
        <v>50</v>
      </c>
      <c r="F22" s="20" t="s">
        <v>29</v>
      </c>
      <c r="G22" s="19" t="str">
        <f t="shared" si="0"/>
        <v>High Price</v>
      </c>
      <c r="H22" s="19" t="str">
        <f t="shared" si="1"/>
        <v>14</v>
      </c>
      <c r="I22" s="19" t="str">
        <f t="shared" si="2"/>
        <v>RU</v>
      </c>
      <c r="J22" t="str">
        <f t="shared" si="3"/>
        <v>MAY</v>
      </c>
      <c r="K22" s="16"/>
      <c r="L22" s="26" t="s">
        <v>22</v>
      </c>
      <c r="M22" s="41">
        <f>MIN(D:D)</f>
        <v>30</v>
      </c>
      <c r="N22" s="41"/>
    </row>
    <row r="23" spans="1:23" ht="12.75" customHeight="1" x14ac:dyDescent="0.2">
      <c r="A23" s="18" t="s">
        <v>68</v>
      </c>
      <c r="B23" s="18" t="s">
        <v>67</v>
      </c>
      <c r="C23" s="18" t="s">
        <v>66</v>
      </c>
      <c r="D23" s="18">
        <v>80</v>
      </c>
      <c r="E23" s="18">
        <v>20</v>
      </c>
      <c r="F23" s="17" t="s">
        <v>40</v>
      </c>
      <c r="G23" s="16" t="str">
        <f t="shared" si="0"/>
        <v>Standard Price</v>
      </c>
      <c r="H23" s="16" t="str">
        <f t="shared" si="1"/>
        <v>09</v>
      </c>
      <c r="I23" s="16" t="str">
        <f t="shared" si="2"/>
        <v>CA</v>
      </c>
      <c r="J23" t="str">
        <f t="shared" si="3"/>
        <v>JAN</v>
      </c>
      <c r="K23" s="16"/>
      <c r="L23" s="23"/>
    </row>
    <row r="24" spans="1:23" ht="12.75" customHeight="1" x14ac:dyDescent="0.2">
      <c r="A24" s="21" t="s">
        <v>65</v>
      </c>
      <c r="B24" s="21" t="s">
        <v>38</v>
      </c>
      <c r="C24" s="21" t="s">
        <v>64</v>
      </c>
      <c r="D24" s="21">
        <v>150</v>
      </c>
      <c r="E24" s="21">
        <v>30</v>
      </c>
      <c r="F24" s="20" t="s">
        <v>29</v>
      </c>
      <c r="G24" s="19" t="str">
        <f t="shared" si="0"/>
        <v>Standard Price</v>
      </c>
      <c r="H24" s="19" t="str">
        <f t="shared" si="1"/>
        <v>19</v>
      </c>
      <c r="I24" s="19" t="str">
        <f t="shared" si="2"/>
        <v>BR</v>
      </c>
      <c r="J24" t="str">
        <f t="shared" si="3"/>
        <v>JUL</v>
      </c>
      <c r="K24" s="16"/>
      <c r="L24" s="25" t="s">
        <v>20</v>
      </c>
      <c r="M24" s="42" t="s">
        <v>7</v>
      </c>
      <c r="N24" s="43"/>
    </row>
    <row r="25" spans="1:23" ht="12.75" customHeight="1" x14ac:dyDescent="0.2">
      <c r="A25" s="18" t="s">
        <v>63</v>
      </c>
      <c r="B25" s="18" t="s">
        <v>62</v>
      </c>
      <c r="C25" s="18" t="s">
        <v>61</v>
      </c>
      <c r="D25" s="18">
        <v>50</v>
      </c>
      <c r="E25" s="18">
        <v>35</v>
      </c>
      <c r="F25" s="17" t="s">
        <v>25</v>
      </c>
      <c r="G25" s="16" t="str">
        <f t="shared" si="0"/>
        <v>Standard Price</v>
      </c>
      <c r="H25" s="16" t="str">
        <f t="shared" si="1"/>
        <v>21</v>
      </c>
      <c r="I25" s="16" t="str">
        <f t="shared" si="2"/>
        <v>CA</v>
      </c>
      <c r="J25" t="str">
        <f t="shared" si="3"/>
        <v>AUG</v>
      </c>
      <c r="K25" s="16"/>
      <c r="L25" s="22"/>
    </row>
    <row r="26" spans="1:23" ht="12.75" customHeight="1" x14ac:dyDescent="0.2">
      <c r="A26" s="21" t="s">
        <v>60</v>
      </c>
      <c r="B26" s="21" t="s">
        <v>59</v>
      </c>
      <c r="C26" s="21" t="s">
        <v>58</v>
      </c>
      <c r="D26" s="21">
        <v>800</v>
      </c>
      <c r="E26" s="21">
        <v>45</v>
      </c>
      <c r="F26" s="20" t="s">
        <v>29</v>
      </c>
      <c r="G26" s="19" t="str">
        <f t="shared" si="0"/>
        <v>High Price</v>
      </c>
      <c r="H26" s="19" t="str">
        <f t="shared" si="1"/>
        <v>29</v>
      </c>
      <c r="I26" s="19" t="str">
        <f t="shared" si="2"/>
        <v>CA</v>
      </c>
      <c r="J26" t="str">
        <f t="shared" si="3"/>
        <v>SEP</v>
      </c>
      <c r="K26" s="16"/>
      <c r="L26" s="24" t="s">
        <v>22</v>
      </c>
      <c r="M26" s="51">
        <f>MAX(D:D)</f>
        <v>1000</v>
      </c>
      <c r="N26" s="51"/>
    </row>
    <row r="27" spans="1:23" ht="12.75" customHeight="1" x14ac:dyDescent="0.2">
      <c r="A27" s="18" t="s">
        <v>57</v>
      </c>
      <c r="B27" s="18" t="s">
        <v>56</v>
      </c>
      <c r="C27" s="18" t="s">
        <v>55</v>
      </c>
      <c r="D27" s="18">
        <v>130</v>
      </c>
      <c r="E27" s="18">
        <v>25</v>
      </c>
      <c r="F27" s="17" t="s">
        <v>33</v>
      </c>
      <c r="G27" s="16" t="str">
        <f t="shared" si="0"/>
        <v>Standard Price</v>
      </c>
      <c r="H27" s="16" t="str">
        <f t="shared" si="1"/>
        <v>03</v>
      </c>
      <c r="I27" s="16" t="str">
        <f t="shared" si="2"/>
        <v>CA</v>
      </c>
      <c r="J27" t="str">
        <f t="shared" si="3"/>
        <v>JUN</v>
      </c>
      <c r="K27" s="16"/>
      <c r="L27" s="23"/>
    </row>
    <row r="28" spans="1:23" ht="12.75" customHeight="1" x14ac:dyDescent="0.2">
      <c r="A28" s="21" t="s">
        <v>54</v>
      </c>
      <c r="B28" s="21" t="s">
        <v>53</v>
      </c>
      <c r="C28" s="21" t="s">
        <v>52</v>
      </c>
      <c r="D28" s="21">
        <v>400</v>
      </c>
      <c r="E28" s="21">
        <v>40</v>
      </c>
      <c r="F28" s="20" t="s">
        <v>40</v>
      </c>
      <c r="G28" s="19" t="str">
        <f t="shared" si="0"/>
        <v>Standard Price</v>
      </c>
      <c r="H28" s="19" t="str">
        <f t="shared" si="1"/>
        <v>11</v>
      </c>
      <c r="I28" s="19" t="str">
        <f t="shared" si="2"/>
        <v>CA</v>
      </c>
      <c r="J28" t="str">
        <f t="shared" si="3"/>
        <v>JUL</v>
      </c>
      <c r="K28" s="16"/>
      <c r="L28" s="46" t="s">
        <v>51</v>
      </c>
      <c r="M28" s="46"/>
      <c r="N28" s="46"/>
    </row>
    <row r="29" spans="1:23" ht="12.75" customHeight="1" x14ac:dyDescent="0.2">
      <c r="A29" s="18" t="s">
        <v>50</v>
      </c>
      <c r="B29" s="18" t="s">
        <v>49</v>
      </c>
      <c r="C29" s="18" t="s">
        <v>48</v>
      </c>
      <c r="D29" s="18">
        <v>230</v>
      </c>
      <c r="E29" s="18">
        <v>20</v>
      </c>
      <c r="F29" s="17" t="s">
        <v>29</v>
      </c>
      <c r="G29" s="16" t="str">
        <f t="shared" si="0"/>
        <v>Standard Price</v>
      </c>
      <c r="H29" s="16" t="str">
        <f t="shared" si="1"/>
        <v>16</v>
      </c>
      <c r="I29" s="16" t="str">
        <f t="shared" si="2"/>
        <v>ES</v>
      </c>
      <c r="J29" t="str">
        <f t="shared" si="3"/>
        <v>APR</v>
      </c>
      <c r="K29" s="16"/>
      <c r="L29" s="22"/>
    </row>
    <row r="30" spans="1:23" ht="12.75" customHeight="1" x14ac:dyDescent="0.25">
      <c r="A30" s="21" t="s">
        <v>47</v>
      </c>
      <c r="B30" s="21" t="s">
        <v>46</v>
      </c>
      <c r="C30" s="21" t="s">
        <v>45</v>
      </c>
      <c r="D30" s="21">
        <v>60</v>
      </c>
      <c r="E30" s="21">
        <v>30</v>
      </c>
      <c r="F30" s="20" t="s">
        <v>33</v>
      </c>
      <c r="G30" s="19" t="str">
        <f t="shared" si="0"/>
        <v>Standard Price</v>
      </c>
      <c r="H30" s="19" t="str">
        <f t="shared" si="1"/>
        <v>07</v>
      </c>
      <c r="I30" s="19" t="str">
        <f t="shared" si="2"/>
        <v>CA</v>
      </c>
      <c r="J30" t="str">
        <f t="shared" si="3"/>
        <v>MAR</v>
      </c>
      <c r="K30" s="16"/>
      <c r="L30" s="47" t="s">
        <v>44</v>
      </c>
      <c r="M30" s="49" t="s">
        <v>9</v>
      </c>
      <c r="N30" s="49"/>
      <c r="W30" s="5"/>
    </row>
    <row r="31" spans="1:23" ht="12.75" customHeight="1" x14ac:dyDescent="0.25">
      <c r="A31" s="18" t="s">
        <v>43</v>
      </c>
      <c r="B31" s="18" t="s">
        <v>42</v>
      </c>
      <c r="C31" s="18" t="s">
        <v>41</v>
      </c>
      <c r="D31" s="18">
        <v>40</v>
      </c>
      <c r="E31" s="18">
        <v>10</v>
      </c>
      <c r="F31" s="17" t="s">
        <v>40</v>
      </c>
      <c r="G31" s="16" t="str">
        <f t="shared" si="0"/>
        <v>Standard Price</v>
      </c>
      <c r="H31" s="16" t="str">
        <f t="shared" si="1"/>
        <v>13</v>
      </c>
      <c r="I31" s="16" t="str">
        <f t="shared" si="2"/>
        <v>CA</v>
      </c>
      <c r="J31" t="str">
        <f t="shared" si="3"/>
        <v>APR</v>
      </c>
      <c r="K31" s="16"/>
      <c r="L31" s="48"/>
      <c r="M31" s="49"/>
      <c r="N31" s="49"/>
      <c r="O31" s="5"/>
      <c r="P31" s="5"/>
      <c r="Q31" s="5"/>
      <c r="R31" s="5"/>
      <c r="S31" s="5"/>
      <c r="T31" s="5"/>
      <c r="U31" s="5"/>
      <c r="V31" s="5"/>
      <c r="W31" s="5"/>
    </row>
    <row r="32" spans="1:23" ht="12.75" customHeight="1" x14ac:dyDescent="0.25">
      <c r="A32" s="21" t="s">
        <v>39</v>
      </c>
      <c r="B32" s="21" t="s">
        <v>38</v>
      </c>
      <c r="C32" s="21" t="s">
        <v>37</v>
      </c>
      <c r="D32" s="21">
        <v>130</v>
      </c>
      <c r="E32" s="21">
        <v>5</v>
      </c>
      <c r="F32" s="20" t="s">
        <v>29</v>
      </c>
      <c r="G32" s="19" t="str">
        <f t="shared" si="0"/>
        <v>Standard Price</v>
      </c>
      <c r="H32" s="19" t="str">
        <f t="shared" si="1"/>
        <v>24</v>
      </c>
      <c r="I32" s="19" t="str">
        <f t="shared" si="2"/>
        <v>CA</v>
      </c>
      <c r="J32" t="str">
        <f t="shared" si="3"/>
        <v>MAY</v>
      </c>
      <c r="K32" s="16"/>
      <c r="L32" s="48"/>
      <c r="M32" s="49"/>
      <c r="N32" s="49"/>
      <c r="O32" s="5"/>
      <c r="P32" s="5"/>
      <c r="Q32" s="5"/>
      <c r="R32" s="5"/>
      <c r="S32" s="5"/>
      <c r="T32" s="5"/>
      <c r="U32" s="5"/>
      <c r="V32" s="5"/>
      <c r="W32" s="5"/>
    </row>
    <row r="33" spans="1:23" ht="12.75" customHeight="1" x14ac:dyDescent="0.25">
      <c r="A33" s="18" t="s">
        <v>36</v>
      </c>
      <c r="B33" s="18" t="s">
        <v>35</v>
      </c>
      <c r="C33" s="18" t="s">
        <v>34</v>
      </c>
      <c r="D33" s="18">
        <v>50</v>
      </c>
      <c r="E33" s="18">
        <v>50</v>
      </c>
      <c r="F33" s="17" t="s">
        <v>33</v>
      </c>
      <c r="G33" s="16" t="str">
        <f t="shared" si="0"/>
        <v>Standard Price</v>
      </c>
      <c r="H33" s="16" t="str">
        <f t="shared" si="1"/>
        <v>02</v>
      </c>
      <c r="I33" s="16" t="str">
        <f t="shared" si="2"/>
        <v>CA</v>
      </c>
      <c r="J33" t="str">
        <f t="shared" si="3"/>
        <v>DEC</v>
      </c>
      <c r="K33" s="16"/>
      <c r="L33" s="48"/>
      <c r="M33" s="49"/>
      <c r="N33" s="49"/>
      <c r="O33" s="5"/>
      <c r="P33" s="5"/>
      <c r="Q33" s="5"/>
      <c r="R33" s="5"/>
      <c r="S33" s="5"/>
      <c r="T33" s="5"/>
      <c r="U33" s="5"/>
      <c r="V33" s="5"/>
      <c r="W33" s="5"/>
    </row>
    <row r="34" spans="1:23" ht="12.75" customHeight="1" x14ac:dyDescent="0.25">
      <c r="A34" s="21" t="s">
        <v>32</v>
      </c>
      <c r="B34" s="21" t="s">
        <v>31</v>
      </c>
      <c r="C34" s="21" t="s">
        <v>30</v>
      </c>
      <c r="D34" s="21">
        <v>950</v>
      </c>
      <c r="E34" s="21">
        <v>25</v>
      </c>
      <c r="F34" s="20" t="s">
        <v>29</v>
      </c>
      <c r="G34" s="19" t="str">
        <f t="shared" si="0"/>
        <v>High Price</v>
      </c>
      <c r="H34" s="19" t="str">
        <f t="shared" si="1"/>
        <v>17</v>
      </c>
      <c r="I34" s="19" t="str">
        <f t="shared" si="2"/>
        <v>IN</v>
      </c>
      <c r="J34" t="str">
        <f t="shared" si="3"/>
        <v>JUN</v>
      </c>
      <c r="K34" s="16"/>
      <c r="L34" s="48"/>
      <c r="M34" s="49"/>
      <c r="N34" s="49"/>
      <c r="O34" s="5"/>
      <c r="P34" s="5"/>
      <c r="Q34" s="5"/>
      <c r="R34" s="5"/>
      <c r="S34" s="5"/>
      <c r="T34" s="5"/>
      <c r="U34" s="5"/>
      <c r="V34" s="5"/>
      <c r="W34" s="5"/>
    </row>
    <row r="35" spans="1:23" ht="12.75" customHeight="1" x14ac:dyDescent="0.2">
      <c r="A35" s="18" t="s">
        <v>28</v>
      </c>
      <c r="B35" s="18" t="s">
        <v>27</v>
      </c>
      <c r="C35" s="18" t="s">
        <v>26</v>
      </c>
      <c r="D35" s="18">
        <v>100</v>
      </c>
      <c r="E35" s="18">
        <v>20</v>
      </c>
      <c r="F35" s="17" t="s">
        <v>25</v>
      </c>
      <c r="G35" s="16" t="str">
        <f t="shared" si="0"/>
        <v>Standard Price</v>
      </c>
      <c r="H35" s="16" t="str">
        <f t="shared" si="1"/>
        <v>09</v>
      </c>
      <c r="I35" s="16" t="str">
        <f t="shared" si="2"/>
        <v>FR</v>
      </c>
      <c r="J35" t="str">
        <f t="shared" si="3"/>
        <v>JUL</v>
      </c>
      <c r="K35" s="15"/>
      <c r="L35" s="14"/>
      <c r="M35" s="14"/>
      <c r="N35" s="14"/>
    </row>
    <row r="36" spans="1:23" ht="15.75" customHeight="1" x14ac:dyDescent="0.2">
      <c r="K36" s="9" t="s">
        <v>22</v>
      </c>
      <c r="L36" s="52" t="s">
        <v>24</v>
      </c>
      <c r="M36" s="52"/>
    </row>
    <row r="37" spans="1:23" ht="15.75" customHeight="1" x14ac:dyDescent="0.3">
      <c r="A37" s="12"/>
      <c r="B37" s="45" t="s">
        <v>10</v>
      </c>
      <c r="C37" s="45"/>
      <c r="D37" s="45"/>
      <c r="E37" s="45"/>
    </row>
    <row r="38" spans="1:23" ht="15.75" customHeight="1" x14ac:dyDescent="0.3">
      <c r="A38" s="13"/>
      <c r="B38" s="45"/>
      <c r="C38" s="45"/>
      <c r="D38" s="45"/>
      <c r="E38" s="45"/>
    </row>
    <row r="39" spans="1:23" ht="15.75" customHeight="1" x14ac:dyDescent="0.3">
      <c r="A39" s="12"/>
      <c r="B39" s="11"/>
      <c r="C39" s="11"/>
      <c r="D39" s="11"/>
      <c r="E39" s="11"/>
    </row>
    <row r="40" spans="1:23" ht="15.75" customHeight="1" x14ac:dyDescent="0.25">
      <c r="A40" s="10" t="s">
        <v>23</v>
      </c>
      <c r="B40" s="44" t="s">
        <v>11</v>
      </c>
      <c r="C40" s="44"/>
      <c r="D40" s="44"/>
      <c r="E40" s="44"/>
      <c r="F40" s="44"/>
      <c r="G40" s="44"/>
    </row>
    <row r="41" spans="1:23" ht="15.75" customHeight="1" x14ac:dyDescent="0.2"/>
    <row r="42" spans="1:23" ht="15.75" customHeight="1" x14ac:dyDescent="0.2">
      <c r="A42" t="s">
        <v>22</v>
      </c>
      <c r="B42" s="36">
        <f>SUMIF(F2:F35,"Electronics",D2:D35)</f>
        <v>8050</v>
      </c>
      <c r="C42" s="36"/>
      <c r="D42" s="36"/>
      <c r="E42" s="36"/>
    </row>
    <row r="43" spans="1:23" ht="15.75" customHeight="1" x14ac:dyDescent="0.2"/>
    <row r="44" spans="1:23" ht="15.75" customHeight="1" x14ac:dyDescent="0.25">
      <c r="A44" s="10" t="s">
        <v>20</v>
      </c>
      <c r="B44" s="34" t="s">
        <v>12</v>
      </c>
      <c r="C44" s="34"/>
      <c r="D44" s="34"/>
      <c r="E44" s="34"/>
      <c r="F44" s="34"/>
      <c r="G44" s="34"/>
    </row>
    <row r="45" spans="1:23" ht="15.75" customHeight="1" x14ac:dyDescent="0.2"/>
    <row r="46" spans="1:23" ht="15.75" customHeight="1" x14ac:dyDescent="0.2">
      <c r="A46" s="9" t="s">
        <v>22</v>
      </c>
      <c r="B46" s="36">
        <f>COUNTIF(D2:D35,"&lt;100")</f>
        <v>11</v>
      </c>
      <c r="C46" s="36"/>
      <c r="D46" s="36"/>
      <c r="E46" s="36"/>
      <c r="F46" s="36"/>
      <c r="G46" s="36"/>
    </row>
    <row r="47" spans="1:23" ht="15.75" customHeight="1" x14ac:dyDescent="0.2"/>
    <row r="48" spans="1:23" ht="15.75" customHeight="1" x14ac:dyDescent="0.2">
      <c r="B48" s="37" t="s">
        <v>13</v>
      </c>
      <c r="C48" s="37"/>
      <c r="D48" s="37"/>
      <c r="E48" s="37"/>
    </row>
    <row r="49" spans="1:10" ht="15.75" customHeight="1" x14ac:dyDescent="0.2">
      <c r="B49" s="37"/>
      <c r="C49" s="37"/>
      <c r="D49" s="37"/>
      <c r="E49" s="37"/>
    </row>
    <row r="50" spans="1:10" ht="15.75" customHeight="1" x14ac:dyDescent="0.2"/>
    <row r="51" spans="1:10" ht="15.75" customHeight="1" x14ac:dyDescent="0.25">
      <c r="A51" s="10" t="s">
        <v>23</v>
      </c>
      <c r="B51" s="34" t="s">
        <v>14</v>
      </c>
      <c r="C51" s="34"/>
      <c r="D51" s="34"/>
      <c r="E51" s="34"/>
      <c r="F51" s="34"/>
      <c r="G51" s="34"/>
    </row>
    <row r="52" spans="1:10" ht="15.75" customHeight="1" x14ac:dyDescent="0.2"/>
    <row r="53" spans="1:10" ht="15.75" customHeight="1" x14ac:dyDescent="0.25">
      <c r="A53" s="9" t="s">
        <v>22</v>
      </c>
      <c r="B53" s="35" t="s">
        <v>21</v>
      </c>
      <c r="C53" s="35"/>
      <c r="D53" s="35"/>
      <c r="E53" s="35"/>
      <c r="F53" s="35"/>
      <c r="G53" s="35"/>
    </row>
    <row r="54" spans="1:10" ht="15.75" customHeight="1" x14ac:dyDescent="0.2"/>
    <row r="55" spans="1:10" ht="15.75" customHeight="1" x14ac:dyDescent="0.25">
      <c r="A55" s="54" t="s">
        <v>20</v>
      </c>
      <c r="B55" s="57" t="s">
        <v>15</v>
      </c>
      <c r="C55" s="57"/>
      <c r="D55" s="57"/>
      <c r="E55" s="57"/>
      <c r="F55" s="57"/>
      <c r="G55" s="57"/>
      <c r="H55" s="8"/>
      <c r="I55" s="8"/>
      <c r="J55" s="8"/>
    </row>
    <row r="56" spans="1:10" ht="15.75" customHeight="1" x14ac:dyDescent="0.2">
      <c r="A56" s="54"/>
      <c r="B56" s="57"/>
      <c r="C56" s="57"/>
      <c r="D56" s="57"/>
      <c r="E56" s="57"/>
      <c r="F56" s="57"/>
      <c r="G56" s="57"/>
    </row>
    <row r="57" spans="1:10" ht="15.75" customHeight="1" x14ac:dyDescent="0.2">
      <c r="B57" s="56"/>
      <c r="C57" s="56"/>
      <c r="D57" s="56"/>
      <c r="E57" s="56"/>
      <c r="F57" s="56"/>
      <c r="G57" s="56"/>
    </row>
    <row r="58" spans="1:10" ht="15.75" customHeight="1" x14ac:dyDescent="0.2">
      <c r="B58" s="53" t="s">
        <v>19</v>
      </c>
      <c r="C58" s="53"/>
      <c r="D58" s="53"/>
      <c r="E58" s="53"/>
    </row>
    <row r="59" spans="1:10" ht="15.75" customHeight="1" x14ac:dyDescent="0.2">
      <c r="B59" s="53"/>
      <c r="C59" s="53"/>
      <c r="D59" s="53"/>
      <c r="E59" s="53"/>
    </row>
    <row r="60" spans="1:10" ht="15.75" customHeight="1" x14ac:dyDescent="0.2"/>
    <row r="61" spans="1:10" ht="15.75" customHeight="1" x14ac:dyDescent="0.2">
      <c r="A61" s="55" t="s">
        <v>18</v>
      </c>
      <c r="B61" s="54" t="s">
        <v>16</v>
      </c>
      <c r="C61" s="54"/>
      <c r="D61" s="54"/>
      <c r="E61" s="54"/>
      <c r="F61" s="54"/>
      <c r="G61" s="54"/>
    </row>
    <row r="62" spans="1:10" ht="15.75" customHeight="1" x14ac:dyDescent="0.2">
      <c r="A62" s="55"/>
      <c r="B62" s="54"/>
      <c r="C62" s="54"/>
      <c r="D62" s="54"/>
      <c r="E62" s="54"/>
      <c r="F62" s="54"/>
      <c r="G62" s="54"/>
    </row>
    <row r="63" spans="1:10" ht="15.75" customHeight="1" x14ac:dyDescent="0.2"/>
    <row r="64" spans="1:10" ht="15.75" customHeight="1" x14ac:dyDescent="0.2">
      <c r="B64" s="53" t="s">
        <v>17</v>
      </c>
      <c r="C64" s="53"/>
      <c r="D64" s="53"/>
      <c r="E64" s="53"/>
    </row>
    <row r="65" spans="2:5" ht="15.75" customHeight="1" x14ac:dyDescent="0.2">
      <c r="B65" s="53"/>
      <c r="C65" s="53"/>
      <c r="D65" s="53"/>
      <c r="E65" s="53"/>
    </row>
    <row r="66" spans="2:5" ht="15.75" customHeight="1" x14ac:dyDescent="0.2"/>
    <row r="67" spans="2:5" ht="15.75" customHeight="1" x14ac:dyDescent="0.2"/>
    <row r="68" spans="2:5" ht="15.75" customHeight="1" x14ac:dyDescent="0.2"/>
    <row r="69" spans="2:5" ht="15.75" customHeight="1" x14ac:dyDescent="0.2"/>
    <row r="70" spans="2:5" ht="15.75" customHeight="1" x14ac:dyDescent="0.2"/>
    <row r="71" spans="2:5" ht="15.75" customHeight="1" x14ac:dyDescent="0.2"/>
    <row r="72" spans="2:5" ht="15.75" customHeight="1" x14ac:dyDescent="0.2"/>
    <row r="73" spans="2:5" ht="15.75" customHeight="1" x14ac:dyDescent="0.2"/>
    <row r="74" spans="2:5" ht="15.75" customHeight="1" x14ac:dyDescent="0.2"/>
    <row r="75" spans="2:5" ht="15.75" customHeight="1" x14ac:dyDescent="0.2"/>
    <row r="76" spans="2:5" ht="15.75" customHeight="1" x14ac:dyDescent="0.2"/>
    <row r="77" spans="2:5" ht="15.75" customHeight="1" x14ac:dyDescent="0.2"/>
    <row r="78" spans="2:5" ht="15.75" customHeight="1" x14ac:dyDescent="0.2"/>
    <row r="79" spans="2:5" ht="15.75" customHeight="1" x14ac:dyDescent="0.2"/>
    <row r="80" spans="2:5" ht="15.75" customHeight="1" x14ac:dyDescent="0.2"/>
    <row r="81" customFormat="1" ht="15.75" customHeight="1" x14ac:dyDescent="0.2"/>
    <row r="82" customFormat="1" ht="15.75" customHeight="1" x14ac:dyDescent="0.2"/>
    <row r="83" customFormat="1" ht="15.75" customHeight="1" x14ac:dyDescent="0.2"/>
    <row r="84" customFormat="1" ht="15.75" customHeight="1" x14ac:dyDescent="0.2"/>
    <row r="85" customFormat="1" ht="15.75" customHeight="1" x14ac:dyDescent="0.2"/>
    <row r="86" customFormat="1" ht="15.75" customHeight="1" x14ac:dyDescent="0.2"/>
    <row r="87" customFormat="1" ht="15.75" customHeight="1" x14ac:dyDescent="0.2"/>
    <row r="88" customFormat="1" ht="15.75" customHeight="1" x14ac:dyDescent="0.2"/>
    <row r="89" customFormat="1" ht="15.75" customHeight="1" x14ac:dyDescent="0.2"/>
    <row r="90" customFormat="1" ht="15.75" customHeight="1" x14ac:dyDescent="0.2"/>
    <row r="91" customFormat="1" ht="15.75" customHeight="1" x14ac:dyDescent="0.2"/>
    <row r="92" customFormat="1" ht="15.75" customHeight="1" x14ac:dyDescent="0.2"/>
    <row r="93" customFormat="1" ht="15.75" customHeight="1" x14ac:dyDescent="0.2"/>
    <row r="94" customFormat="1" ht="15.75" customHeight="1" x14ac:dyDescent="0.2"/>
    <row r="95" customFormat="1" ht="15.75" customHeight="1" x14ac:dyDescent="0.2"/>
    <row r="96" customFormat="1" ht="15.75" customHeight="1" x14ac:dyDescent="0.2"/>
    <row r="97" customFormat="1" ht="15.75" customHeight="1" x14ac:dyDescent="0.2"/>
    <row r="98" customFormat="1" ht="15.75" customHeight="1" x14ac:dyDescent="0.2"/>
    <row r="99" customFormat="1" ht="15.75" customHeight="1" x14ac:dyDescent="0.2"/>
    <row r="100" customFormat="1" ht="15.75" customHeight="1" x14ac:dyDescent="0.2"/>
    <row r="101" customFormat="1" ht="15.75" customHeight="1" x14ac:dyDescent="0.2"/>
    <row r="102" customFormat="1" ht="15.75" customHeight="1" x14ac:dyDescent="0.2"/>
    <row r="103" customFormat="1" ht="15.75" customHeight="1" x14ac:dyDescent="0.2"/>
    <row r="104" customFormat="1" ht="15.75" customHeight="1" x14ac:dyDescent="0.2"/>
    <row r="105" customFormat="1" ht="15.75" customHeight="1" x14ac:dyDescent="0.2"/>
    <row r="106" customFormat="1" ht="15.75" customHeight="1" x14ac:dyDescent="0.2"/>
    <row r="107" customFormat="1" ht="15.75" customHeight="1" x14ac:dyDescent="0.2"/>
    <row r="108" customFormat="1" ht="15.75" customHeight="1" x14ac:dyDescent="0.2"/>
    <row r="109" customFormat="1" ht="15.75" customHeight="1" x14ac:dyDescent="0.2"/>
    <row r="110" customFormat="1" ht="15.75" customHeight="1" x14ac:dyDescent="0.2"/>
    <row r="111" customFormat="1" ht="15.75" customHeight="1" x14ac:dyDescent="0.2"/>
    <row r="112" customFormat="1" ht="15.75" customHeight="1" x14ac:dyDescent="0.2"/>
    <row r="113" customFormat="1" ht="15.75" customHeight="1" x14ac:dyDescent="0.2"/>
    <row r="114" customFormat="1" ht="15.75" customHeight="1" x14ac:dyDescent="0.2"/>
    <row r="115" customFormat="1" ht="15.75" customHeight="1" x14ac:dyDescent="0.2"/>
    <row r="116" customFormat="1" ht="15.75" customHeight="1" x14ac:dyDescent="0.2"/>
    <row r="117" customFormat="1" ht="15.75" customHeight="1" x14ac:dyDescent="0.2"/>
    <row r="118" customFormat="1" ht="15.75" customHeight="1" x14ac:dyDescent="0.2"/>
    <row r="119" customFormat="1" ht="15.75" customHeight="1" x14ac:dyDescent="0.2"/>
    <row r="120" customFormat="1" ht="15.75" customHeight="1" x14ac:dyDescent="0.2"/>
    <row r="121" customFormat="1" ht="15.75" customHeight="1" x14ac:dyDescent="0.2"/>
    <row r="122" customFormat="1" ht="15.75" customHeight="1" x14ac:dyDescent="0.2"/>
    <row r="123" customFormat="1" ht="15.75" customHeight="1" x14ac:dyDescent="0.2"/>
    <row r="124" customFormat="1" ht="15.75" customHeight="1" x14ac:dyDescent="0.2"/>
    <row r="125" customFormat="1" ht="15.75" customHeight="1" x14ac:dyDescent="0.2"/>
    <row r="126" customFormat="1" ht="15.75" customHeight="1" x14ac:dyDescent="0.2"/>
    <row r="127" customFormat="1" ht="15.75" customHeight="1" x14ac:dyDescent="0.2"/>
    <row r="128" customFormat="1" ht="15.75" customHeight="1" x14ac:dyDescent="0.2"/>
    <row r="129" customFormat="1" ht="15.75" customHeight="1" x14ac:dyDescent="0.2"/>
    <row r="130" customFormat="1" ht="15.75" customHeight="1" x14ac:dyDescent="0.2"/>
    <row r="131" customFormat="1" ht="15.75" customHeight="1" x14ac:dyDescent="0.2"/>
    <row r="132" customFormat="1" ht="15.75" customHeight="1" x14ac:dyDescent="0.2"/>
    <row r="133" customFormat="1" ht="15.75" customHeight="1" x14ac:dyDescent="0.2"/>
    <row r="134" customFormat="1" ht="15.75" customHeight="1" x14ac:dyDescent="0.2"/>
    <row r="135" customFormat="1" ht="15.75" customHeight="1" x14ac:dyDescent="0.2"/>
    <row r="136" customFormat="1" ht="15.75" customHeight="1" x14ac:dyDescent="0.2"/>
    <row r="137" customFormat="1" ht="15.75" customHeight="1" x14ac:dyDescent="0.2"/>
    <row r="138" customFormat="1" ht="15.75" customHeight="1" x14ac:dyDescent="0.2"/>
    <row r="139" customFormat="1" ht="15.75" customHeight="1" x14ac:dyDescent="0.2"/>
    <row r="140" customFormat="1" ht="15.75" customHeight="1" x14ac:dyDescent="0.2"/>
    <row r="141" customFormat="1" ht="15.75" customHeight="1" x14ac:dyDescent="0.2"/>
    <row r="142" customFormat="1" ht="15.75" customHeight="1" x14ac:dyDescent="0.2"/>
    <row r="143" customFormat="1" ht="15.75" customHeight="1" x14ac:dyDescent="0.2"/>
    <row r="144" customFormat="1" ht="15.75" customHeight="1" x14ac:dyDescent="0.2"/>
    <row r="145" customFormat="1" ht="15.75" customHeight="1" x14ac:dyDescent="0.2"/>
    <row r="146" customFormat="1" ht="15.75" customHeight="1" x14ac:dyDescent="0.2"/>
    <row r="147" customFormat="1" ht="15.75" customHeight="1" x14ac:dyDescent="0.2"/>
    <row r="148" customFormat="1" ht="15.75" customHeight="1" x14ac:dyDescent="0.2"/>
    <row r="149" customFormat="1" ht="15.75" customHeight="1" x14ac:dyDescent="0.2"/>
    <row r="150" customFormat="1" ht="15.75" customHeight="1" x14ac:dyDescent="0.2"/>
    <row r="151" customFormat="1" ht="15.75" customHeight="1" x14ac:dyDescent="0.2"/>
    <row r="152" customFormat="1" ht="15.75" customHeight="1" x14ac:dyDescent="0.2"/>
    <row r="153" customFormat="1" ht="15.75" customHeight="1" x14ac:dyDescent="0.2"/>
    <row r="154" customFormat="1" ht="15.75" customHeight="1" x14ac:dyDescent="0.2"/>
    <row r="155" customFormat="1" ht="15.75" customHeight="1" x14ac:dyDescent="0.2"/>
    <row r="156" customFormat="1" ht="15.75" customHeight="1" x14ac:dyDescent="0.2"/>
    <row r="157" customFormat="1" ht="15.75" customHeight="1" x14ac:dyDescent="0.2"/>
    <row r="158" customFormat="1" ht="15.75" customHeight="1" x14ac:dyDescent="0.2"/>
    <row r="159" customFormat="1" ht="15.75" customHeight="1" x14ac:dyDescent="0.2"/>
    <row r="160" customFormat="1" ht="15.75" customHeight="1" x14ac:dyDescent="0.2"/>
    <row r="161" customFormat="1" ht="15.75" customHeight="1" x14ac:dyDescent="0.2"/>
    <row r="162" customFormat="1" ht="15.75" customHeight="1" x14ac:dyDescent="0.2"/>
    <row r="163" customFormat="1" ht="15.75" customHeight="1" x14ac:dyDescent="0.2"/>
    <row r="164" customFormat="1" ht="15.75" customHeight="1" x14ac:dyDescent="0.2"/>
    <row r="165" customFormat="1" ht="15.75" customHeight="1" x14ac:dyDescent="0.2"/>
    <row r="166" customFormat="1" ht="15.75" customHeight="1" x14ac:dyDescent="0.2"/>
    <row r="167" customFormat="1" ht="15.75" customHeight="1" x14ac:dyDescent="0.2"/>
    <row r="168" customFormat="1" ht="15.75" customHeight="1" x14ac:dyDescent="0.2"/>
    <row r="169" customFormat="1" ht="15.75" customHeight="1" x14ac:dyDescent="0.2"/>
    <row r="170" customFormat="1" ht="15.75" customHeight="1" x14ac:dyDescent="0.2"/>
    <row r="171" customFormat="1" ht="15.75" customHeight="1" x14ac:dyDescent="0.2"/>
    <row r="172" customFormat="1" ht="15.75" customHeight="1" x14ac:dyDescent="0.2"/>
    <row r="173" customFormat="1" ht="15.75" customHeight="1" x14ac:dyDescent="0.2"/>
    <row r="174" customFormat="1" ht="15.75" customHeight="1" x14ac:dyDescent="0.2"/>
    <row r="175" customFormat="1" ht="15.75" customHeight="1" x14ac:dyDescent="0.2"/>
    <row r="176" customFormat="1" ht="15.75" customHeight="1" x14ac:dyDescent="0.2"/>
    <row r="177" customFormat="1" ht="15.75" customHeight="1" x14ac:dyDescent="0.2"/>
    <row r="178" customFormat="1" ht="15.75" customHeight="1" x14ac:dyDescent="0.2"/>
    <row r="179" customFormat="1" ht="15.75" customHeight="1" x14ac:dyDescent="0.2"/>
    <row r="180" customFormat="1" ht="15.75" customHeight="1" x14ac:dyDescent="0.2"/>
    <row r="181" customFormat="1" ht="15.75" customHeight="1" x14ac:dyDescent="0.2"/>
    <row r="182" customFormat="1" ht="15.75" customHeight="1" x14ac:dyDescent="0.2"/>
    <row r="183" customFormat="1" ht="15.75" customHeight="1" x14ac:dyDescent="0.2"/>
    <row r="184" customFormat="1" ht="15.75" customHeight="1" x14ac:dyDescent="0.2"/>
    <row r="185" customFormat="1" ht="15.75" customHeight="1" x14ac:dyDescent="0.2"/>
    <row r="186" customFormat="1" ht="15.75" customHeight="1" x14ac:dyDescent="0.2"/>
    <row r="187" customFormat="1" ht="15.75" customHeight="1" x14ac:dyDescent="0.2"/>
    <row r="188" customFormat="1" ht="15.75" customHeight="1" x14ac:dyDescent="0.2"/>
    <row r="189" customFormat="1" ht="15.75" customHeight="1" x14ac:dyDescent="0.2"/>
    <row r="190" customFormat="1" ht="15.75" customHeight="1" x14ac:dyDescent="0.2"/>
    <row r="191" customFormat="1" ht="15.75" customHeight="1" x14ac:dyDescent="0.2"/>
    <row r="192" customFormat="1" ht="15.75" customHeight="1" x14ac:dyDescent="0.2"/>
    <row r="193" customFormat="1" ht="15.75" customHeight="1" x14ac:dyDescent="0.2"/>
    <row r="194" customFormat="1" ht="15.75" customHeight="1" x14ac:dyDescent="0.2"/>
    <row r="195" customFormat="1" ht="15.75" customHeight="1" x14ac:dyDescent="0.2"/>
    <row r="196" customFormat="1" ht="15.75" customHeight="1" x14ac:dyDescent="0.2"/>
    <row r="197" customFormat="1" ht="15.75" customHeight="1" x14ac:dyDescent="0.2"/>
    <row r="198" customFormat="1" ht="15.75" customHeight="1" x14ac:dyDescent="0.2"/>
    <row r="199" customFormat="1" ht="15.75" customHeight="1" x14ac:dyDescent="0.2"/>
    <row r="200" customFormat="1" ht="15.75" customHeight="1" x14ac:dyDescent="0.2"/>
    <row r="201" customFormat="1" ht="15.75" customHeight="1" x14ac:dyDescent="0.2"/>
    <row r="202" customFormat="1" ht="15.75" customHeight="1" x14ac:dyDescent="0.2"/>
    <row r="203" customFormat="1" ht="15.75" customHeight="1" x14ac:dyDescent="0.2"/>
    <row r="204" customFormat="1" ht="15.75" customHeight="1" x14ac:dyDescent="0.2"/>
    <row r="205" customFormat="1" ht="15.75" customHeight="1" x14ac:dyDescent="0.2"/>
    <row r="206" customFormat="1" ht="15.75" customHeight="1" x14ac:dyDescent="0.2"/>
    <row r="207" customFormat="1" ht="15.75" customHeight="1" x14ac:dyDescent="0.2"/>
    <row r="208" customFormat="1" ht="15.75" customHeight="1" x14ac:dyDescent="0.2"/>
    <row r="209" customFormat="1" ht="15.75" customHeight="1" x14ac:dyDescent="0.2"/>
    <row r="210" customFormat="1" ht="15.75" customHeight="1" x14ac:dyDescent="0.2"/>
    <row r="211" customFormat="1" ht="15.75" customHeight="1" x14ac:dyDescent="0.2"/>
    <row r="212" customFormat="1" ht="15.75" customHeight="1" x14ac:dyDescent="0.2"/>
    <row r="213" customFormat="1" ht="15.75" customHeight="1" x14ac:dyDescent="0.2"/>
    <row r="214" customFormat="1" ht="15.75" customHeight="1" x14ac:dyDescent="0.2"/>
    <row r="215" customFormat="1" ht="15.75" customHeight="1" x14ac:dyDescent="0.2"/>
    <row r="216" customFormat="1" ht="15.75" customHeight="1" x14ac:dyDescent="0.2"/>
    <row r="217" customFormat="1" ht="15.75" customHeight="1" x14ac:dyDescent="0.2"/>
    <row r="218" customFormat="1" ht="15.75" customHeight="1" x14ac:dyDescent="0.2"/>
    <row r="219" customFormat="1" ht="15.75" customHeight="1" x14ac:dyDescent="0.2"/>
    <row r="220" customFormat="1" ht="15.75" customHeight="1" x14ac:dyDescent="0.2"/>
    <row r="221" customFormat="1" ht="15.75" customHeight="1" x14ac:dyDescent="0.2"/>
    <row r="222" customFormat="1" ht="15.75" customHeight="1" x14ac:dyDescent="0.2"/>
    <row r="223" customFormat="1" ht="15.75" customHeight="1" x14ac:dyDescent="0.2"/>
    <row r="224" customFormat="1" ht="15.75" customHeight="1" x14ac:dyDescent="0.2"/>
    <row r="225" customFormat="1" ht="15.75" customHeight="1" x14ac:dyDescent="0.2"/>
    <row r="226" customFormat="1" ht="15.75" customHeight="1" x14ac:dyDescent="0.2"/>
    <row r="227" customFormat="1" ht="15.75" customHeight="1" x14ac:dyDescent="0.2"/>
    <row r="228" customFormat="1" ht="15.75" customHeight="1" x14ac:dyDescent="0.2"/>
    <row r="229" customFormat="1" ht="15.75" customHeight="1" x14ac:dyDescent="0.2"/>
    <row r="230" customFormat="1" ht="15.75" customHeight="1" x14ac:dyDescent="0.2"/>
    <row r="231" customFormat="1" ht="15.75" customHeight="1" x14ac:dyDescent="0.2"/>
    <row r="232" customFormat="1" ht="15.75" customHeight="1" x14ac:dyDescent="0.2"/>
    <row r="233" customFormat="1" ht="15.75" customHeight="1" x14ac:dyDescent="0.2"/>
    <row r="234" customFormat="1" ht="15.75" customHeight="1" x14ac:dyDescent="0.2"/>
    <row r="235" customFormat="1" ht="15.75" customHeight="1" x14ac:dyDescent="0.2"/>
    <row r="236" customFormat="1" ht="15.75" customHeight="1" x14ac:dyDescent="0.2"/>
    <row r="237" customFormat="1" ht="15.75" customHeight="1" x14ac:dyDescent="0.2"/>
    <row r="238" customFormat="1" ht="15.75" customHeight="1" x14ac:dyDescent="0.2"/>
    <row r="239" customFormat="1" ht="15.75" customHeight="1" x14ac:dyDescent="0.2"/>
    <row r="240" customFormat="1" ht="15.75" customHeight="1" x14ac:dyDescent="0.2"/>
    <row r="241" customFormat="1" ht="15.75" customHeight="1" x14ac:dyDescent="0.2"/>
    <row r="242" customFormat="1" ht="15.75" customHeight="1" x14ac:dyDescent="0.2"/>
    <row r="243" customFormat="1" ht="15.75" customHeight="1" x14ac:dyDescent="0.2"/>
    <row r="244" customFormat="1" ht="15.75" customHeight="1" x14ac:dyDescent="0.2"/>
    <row r="245" customFormat="1" ht="15.75" customHeight="1" x14ac:dyDescent="0.2"/>
    <row r="246" customFormat="1" ht="15.75" customHeight="1" x14ac:dyDescent="0.2"/>
    <row r="247" customFormat="1" ht="15.75" customHeight="1" x14ac:dyDescent="0.2"/>
    <row r="248" customFormat="1" ht="15.75" customHeight="1" x14ac:dyDescent="0.2"/>
    <row r="249" customFormat="1" ht="15.75" customHeight="1" x14ac:dyDescent="0.2"/>
    <row r="250" customFormat="1" ht="15.75" customHeight="1" x14ac:dyDescent="0.2"/>
    <row r="251" customFormat="1" ht="15.75" customHeight="1" x14ac:dyDescent="0.2"/>
    <row r="252" customFormat="1" ht="15.75" customHeight="1" x14ac:dyDescent="0.2"/>
    <row r="253" customFormat="1" ht="15.75" customHeight="1" x14ac:dyDescent="0.2"/>
    <row r="254" customFormat="1" ht="15.75" customHeight="1" x14ac:dyDescent="0.2"/>
    <row r="255" customFormat="1" ht="15.75" customHeight="1" x14ac:dyDescent="0.2"/>
    <row r="256" customFormat="1" ht="15.75" customHeight="1" x14ac:dyDescent="0.2"/>
    <row r="257" customFormat="1" ht="15.75" customHeight="1" x14ac:dyDescent="0.2"/>
    <row r="258" customFormat="1" ht="15.75" customHeight="1" x14ac:dyDescent="0.2"/>
    <row r="259" customFormat="1" ht="15.75" customHeight="1" x14ac:dyDescent="0.2"/>
    <row r="260" customFormat="1" ht="15.75" customHeight="1" x14ac:dyDescent="0.2"/>
    <row r="261" customFormat="1" ht="15.75" customHeight="1" x14ac:dyDescent="0.2"/>
    <row r="262" customFormat="1" ht="15.75" customHeight="1" x14ac:dyDescent="0.2"/>
    <row r="263" customFormat="1" ht="15.75" customHeight="1" x14ac:dyDescent="0.2"/>
    <row r="264" customFormat="1" ht="15.75" customHeight="1" x14ac:dyDescent="0.2"/>
    <row r="265" customFormat="1" ht="15.75" customHeight="1" x14ac:dyDescent="0.2"/>
    <row r="266" customFormat="1" ht="15.75" customHeight="1" x14ac:dyDescent="0.2"/>
    <row r="267" customFormat="1" ht="15.75" customHeight="1" x14ac:dyDescent="0.2"/>
    <row r="268" customFormat="1" ht="15.75" customHeight="1" x14ac:dyDescent="0.2"/>
    <row r="269" customFormat="1" ht="15.75" customHeight="1" x14ac:dyDescent="0.2"/>
    <row r="270" customFormat="1" ht="15.75" customHeight="1" x14ac:dyDescent="0.2"/>
    <row r="271" customFormat="1" ht="15.75" customHeight="1" x14ac:dyDescent="0.2"/>
    <row r="272" customFormat="1" ht="15.75" customHeight="1" x14ac:dyDescent="0.2"/>
    <row r="273" customFormat="1" ht="15.75" customHeight="1" x14ac:dyDescent="0.2"/>
    <row r="274" customFormat="1" ht="15.75" customHeight="1" x14ac:dyDescent="0.2"/>
    <row r="275" customFormat="1" ht="15.75" customHeight="1" x14ac:dyDescent="0.2"/>
    <row r="276" customFormat="1" ht="15.75" customHeight="1" x14ac:dyDescent="0.2"/>
    <row r="277" customFormat="1" ht="15.75" customHeight="1" x14ac:dyDescent="0.2"/>
    <row r="278" customFormat="1" ht="15.75" customHeight="1" x14ac:dyDescent="0.2"/>
    <row r="279" customFormat="1" ht="15.75" customHeight="1" x14ac:dyDescent="0.2"/>
    <row r="280" customFormat="1" ht="15.75" customHeight="1" x14ac:dyDescent="0.2"/>
    <row r="281" customFormat="1" ht="15.75" customHeight="1" x14ac:dyDescent="0.2"/>
    <row r="282" customFormat="1" ht="15.75" customHeight="1" x14ac:dyDescent="0.2"/>
    <row r="283" customFormat="1" ht="15.75" customHeight="1" x14ac:dyDescent="0.2"/>
    <row r="284" customFormat="1" ht="15.75" customHeight="1" x14ac:dyDescent="0.2"/>
    <row r="285" customFormat="1" ht="15.75" customHeight="1" x14ac:dyDescent="0.2"/>
    <row r="286" customFormat="1" ht="15.75" customHeight="1" x14ac:dyDescent="0.2"/>
    <row r="287" customFormat="1" ht="15.75" customHeight="1" x14ac:dyDescent="0.2"/>
    <row r="288" customFormat="1" ht="15.75" customHeight="1" x14ac:dyDescent="0.2"/>
    <row r="289" customFormat="1" ht="15.75" customHeight="1" x14ac:dyDescent="0.2"/>
    <row r="290" customFormat="1" ht="15.75" customHeight="1" x14ac:dyDescent="0.2"/>
    <row r="291" customFormat="1" ht="15.75" customHeight="1" x14ac:dyDescent="0.2"/>
    <row r="292" customFormat="1" ht="15.75" customHeight="1" x14ac:dyDescent="0.2"/>
    <row r="293" customFormat="1" ht="15.75" customHeight="1" x14ac:dyDescent="0.2"/>
    <row r="294" customFormat="1" ht="15.75" customHeight="1" x14ac:dyDescent="0.2"/>
    <row r="295" customFormat="1" ht="15.75" customHeight="1" x14ac:dyDescent="0.2"/>
    <row r="296" customFormat="1" ht="15.75" customHeight="1" x14ac:dyDescent="0.2"/>
    <row r="297" customFormat="1" ht="15.75" customHeight="1" x14ac:dyDescent="0.2"/>
    <row r="298" customFormat="1" ht="15.75" customHeight="1" x14ac:dyDescent="0.2"/>
    <row r="299" customFormat="1" ht="15.75" customHeight="1" x14ac:dyDescent="0.2"/>
    <row r="300" customFormat="1" ht="15.75" customHeight="1" x14ac:dyDescent="0.2"/>
    <row r="301" customFormat="1" ht="15.75" customHeight="1" x14ac:dyDescent="0.2"/>
    <row r="302" customFormat="1" ht="15.75" customHeight="1" x14ac:dyDescent="0.2"/>
    <row r="303" customFormat="1" ht="15.75" customHeight="1" x14ac:dyDescent="0.2"/>
    <row r="304" customFormat="1" ht="15.75" customHeight="1" x14ac:dyDescent="0.2"/>
    <row r="305" customFormat="1" ht="15.75" customHeight="1" x14ac:dyDescent="0.2"/>
    <row r="306" customFormat="1" ht="15.75" customHeight="1" x14ac:dyDescent="0.2"/>
    <row r="307" customFormat="1" ht="15.75" customHeight="1" x14ac:dyDescent="0.2"/>
    <row r="308" customFormat="1" ht="15.75" customHeight="1" x14ac:dyDescent="0.2"/>
    <row r="309" customFormat="1" ht="15.75" customHeight="1" x14ac:dyDescent="0.2"/>
    <row r="310" customFormat="1" ht="15.75" customHeight="1" x14ac:dyDescent="0.2"/>
    <row r="311" customFormat="1" ht="15.75" customHeight="1" x14ac:dyDescent="0.2"/>
    <row r="312" customFormat="1" ht="15.75" customHeight="1" x14ac:dyDescent="0.2"/>
    <row r="313" customFormat="1" ht="15.75" customHeight="1" x14ac:dyDescent="0.2"/>
    <row r="314" customFormat="1" ht="15.75" customHeight="1" x14ac:dyDescent="0.2"/>
    <row r="315" customFormat="1" ht="15.75" customHeight="1" x14ac:dyDescent="0.2"/>
    <row r="316" customFormat="1" ht="15.75" customHeight="1" x14ac:dyDescent="0.2"/>
    <row r="317" customFormat="1" ht="15.75" customHeight="1" x14ac:dyDescent="0.2"/>
    <row r="318" customFormat="1" ht="15.75" customHeight="1" x14ac:dyDescent="0.2"/>
    <row r="319" customFormat="1" ht="15.75" customHeight="1" x14ac:dyDescent="0.2"/>
    <row r="320" customFormat="1" ht="15.75" customHeight="1" x14ac:dyDescent="0.2"/>
    <row r="321" customFormat="1" ht="15.75" customHeight="1" x14ac:dyDescent="0.2"/>
    <row r="322" customFormat="1" ht="15.75" customHeight="1" x14ac:dyDescent="0.2"/>
    <row r="323" customFormat="1" ht="15.75" customHeight="1" x14ac:dyDescent="0.2"/>
    <row r="324" customFormat="1" ht="15.75" customHeight="1" x14ac:dyDescent="0.2"/>
    <row r="325" customFormat="1" ht="15.75" customHeight="1" x14ac:dyDescent="0.2"/>
    <row r="326" customFormat="1" ht="15.75" customHeight="1" x14ac:dyDescent="0.2"/>
    <row r="327" customFormat="1" ht="15.75" customHeight="1" x14ac:dyDescent="0.2"/>
    <row r="328" customFormat="1" ht="15.75" customHeight="1" x14ac:dyDescent="0.2"/>
    <row r="329" customFormat="1" ht="15.75" customHeight="1" x14ac:dyDescent="0.2"/>
    <row r="330" customFormat="1" ht="15.75" customHeight="1" x14ac:dyDescent="0.2"/>
    <row r="331" customFormat="1" ht="15.75" customHeight="1" x14ac:dyDescent="0.2"/>
    <row r="332" customFormat="1" ht="15.75" customHeight="1" x14ac:dyDescent="0.2"/>
    <row r="333" customFormat="1" ht="15.75" customHeight="1" x14ac:dyDescent="0.2"/>
    <row r="334" customFormat="1" ht="15.75" customHeight="1" x14ac:dyDescent="0.2"/>
    <row r="335" customFormat="1" ht="15.75" customHeight="1" x14ac:dyDescent="0.2"/>
    <row r="336" customFormat="1" ht="15.75" customHeight="1" x14ac:dyDescent="0.2"/>
    <row r="337" customFormat="1" ht="15.75" customHeight="1" x14ac:dyDescent="0.2"/>
    <row r="338" customFormat="1" ht="15.75" customHeight="1" x14ac:dyDescent="0.2"/>
    <row r="339" customFormat="1" ht="15.75" customHeight="1" x14ac:dyDescent="0.2"/>
    <row r="340" customFormat="1" ht="15.75" customHeight="1" x14ac:dyDescent="0.2"/>
    <row r="341" customFormat="1" ht="15.75" customHeight="1" x14ac:dyDescent="0.2"/>
    <row r="342" customFormat="1" ht="15.75" customHeight="1" x14ac:dyDescent="0.2"/>
    <row r="343" customFormat="1" ht="15.75" customHeight="1" x14ac:dyDescent="0.2"/>
    <row r="344" customFormat="1" ht="15.75" customHeight="1" x14ac:dyDescent="0.2"/>
    <row r="345" customFormat="1" ht="15.75" customHeight="1" x14ac:dyDescent="0.2"/>
    <row r="346" customFormat="1" ht="15.75" customHeight="1" x14ac:dyDescent="0.2"/>
    <row r="347" customFormat="1" ht="15.75" customHeight="1" x14ac:dyDescent="0.2"/>
    <row r="348" customFormat="1" ht="15.75" customHeight="1" x14ac:dyDescent="0.2"/>
    <row r="349" customFormat="1" ht="15.75" customHeight="1" x14ac:dyDescent="0.2"/>
    <row r="350" customFormat="1" ht="15.75" customHeight="1" x14ac:dyDescent="0.2"/>
    <row r="351" customFormat="1" ht="15.75" customHeight="1" x14ac:dyDescent="0.2"/>
    <row r="352" customFormat="1" ht="15.75" customHeight="1" x14ac:dyDescent="0.2"/>
    <row r="353" customFormat="1" ht="15.75" customHeight="1" x14ac:dyDescent="0.2"/>
    <row r="354" customFormat="1" ht="15.75" customHeight="1" x14ac:dyDescent="0.2"/>
    <row r="355" customFormat="1" ht="15.75" customHeight="1" x14ac:dyDescent="0.2"/>
    <row r="356" customFormat="1" ht="15.75" customHeight="1" x14ac:dyDescent="0.2"/>
    <row r="357" customFormat="1" ht="15.75" customHeight="1" x14ac:dyDescent="0.2"/>
    <row r="358" customFormat="1" ht="15.75" customHeight="1" x14ac:dyDescent="0.2"/>
    <row r="359" customFormat="1" ht="15.75" customHeight="1" x14ac:dyDescent="0.2"/>
    <row r="360" customFormat="1" ht="15.75" customHeight="1" x14ac:dyDescent="0.2"/>
    <row r="361" customFormat="1" ht="15.75" customHeight="1" x14ac:dyDescent="0.2"/>
    <row r="362" customFormat="1" ht="15.75" customHeight="1" x14ac:dyDescent="0.2"/>
    <row r="363" customFormat="1" ht="15.75" customHeight="1" x14ac:dyDescent="0.2"/>
    <row r="364" customFormat="1" ht="15.75" customHeight="1" x14ac:dyDescent="0.2"/>
    <row r="365" customFormat="1" ht="15.75" customHeight="1" x14ac:dyDescent="0.2"/>
    <row r="366" customFormat="1" ht="15.75" customHeight="1" x14ac:dyDescent="0.2"/>
    <row r="367" customFormat="1" ht="15.75" customHeight="1" x14ac:dyDescent="0.2"/>
    <row r="368" customFormat="1" ht="15.75" customHeight="1" x14ac:dyDescent="0.2"/>
    <row r="369" customFormat="1" ht="15.75" customHeight="1" x14ac:dyDescent="0.2"/>
    <row r="370" customFormat="1" ht="15.75" customHeight="1" x14ac:dyDescent="0.2"/>
    <row r="371" customFormat="1" ht="15.75" customHeight="1" x14ac:dyDescent="0.2"/>
    <row r="372" customFormat="1" ht="15.75" customHeight="1" x14ac:dyDescent="0.2"/>
    <row r="373" customFormat="1" ht="15.75" customHeight="1" x14ac:dyDescent="0.2"/>
    <row r="374" customFormat="1" ht="15.75" customHeight="1" x14ac:dyDescent="0.2"/>
    <row r="375" customFormat="1" ht="15.75" customHeight="1" x14ac:dyDescent="0.2"/>
    <row r="376" customFormat="1" ht="15.75" customHeight="1" x14ac:dyDescent="0.2"/>
    <row r="377" customFormat="1" ht="15.75" customHeight="1" x14ac:dyDescent="0.2"/>
    <row r="378" customFormat="1" ht="15.75" customHeight="1" x14ac:dyDescent="0.2"/>
    <row r="379" customFormat="1" ht="15.75" customHeight="1" x14ac:dyDescent="0.2"/>
    <row r="380" customFormat="1" ht="15.75" customHeight="1" x14ac:dyDescent="0.2"/>
    <row r="381" customFormat="1" ht="15.75" customHeight="1" x14ac:dyDescent="0.2"/>
    <row r="382" customFormat="1" ht="15.75" customHeight="1" x14ac:dyDescent="0.2"/>
    <row r="383" customFormat="1" ht="15.75" customHeight="1" x14ac:dyDescent="0.2"/>
    <row r="384" customFormat="1" ht="15.75" customHeight="1" x14ac:dyDescent="0.2"/>
    <row r="385" customFormat="1" ht="15.75" customHeight="1" x14ac:dyDescent="0.2"/>
    <row r="386" customFormat="1" ht="15.75" customHeight="1" x14ac:dyDescent="0.2"/>
    <row r="387" customFormat="1" ht="15.75" customHeight="1" x14ac:dyDescent="0.2"/>
    <row r="388" customFormat="1" ht="15.75" customHeight="1" x14ac:dyDescent="0.2"/>
    <row r="389" customFormat="1" ht="15.75" customHeight="1" x14ac:dyDescent="0.2"/>
    <row r="390" customFormat="1" ht="15.75" customHeight="1" x14ac:dyDescent="0.2"/>
    <row r="391" customFormat="1" ht="15.75" customHeight="1" x14ac:dyDescent="0.2"/>
    <row r="392" customFormat="1" ht="15.75" customHeight="1" x14ac:dyDescent="0.2"/>
    <row r="393" customFormat="1" ht="15.75" customHeight="1" x14ac:dyDescent="0.2"/>
    <row r="394" customFormat="1" ht="15.75" customHeight="1" x14ac:dyDescent="0.2"/>
    <row r="395" customFormat="1" ht="15.75" customHeight="1" x14ac:dyDescent="0.2"/>
    <row r="396" customFormat="1" ht="15.75" customHeight="1" x14ac:dyDescent="0.2"/>
    <row r="397" customFormat="1" ht="15.75" customHeight="1" x14ac:dyDescent="0.2"/>
    <row r="398" customFormat="1" ht="15.75" customHeight="1" x14ac:dyDescent="0.2"/>
    <row r="399" customFormat="1" ht="15.75" customHeight="1" x14ac:dyDescent="0.2"/>
    <row r="400" customFormat="1" ht="15.75" customHeight="1" x14ac:dyDescent="0.2"/>
    <row r="401" customFormat="1" ht="15.75" customHeight="1" x14ac:dyDescent="0.2"/>
    <row r="402" customFormat="1" ht="15.75" customHeight="1" x14ac:dyDescent="0.2"/>
    <row r="403" customFormat="1" ht="15.75" customHeight="1" x14ac:dyDescent="0.2"/>
    <row r="404" customFormat="1" ht="15.75" customHeight="1" x14ac:dyDescent="0.2"/>
    <row r="405" customFormat="1" ht="15.75" customHeight="1" x14ac:dyDescent="0.2"/>
    <row r="406" customFormat="1" ht="15.75" customHeight="1" x14ac:dyDescent="0.2"/>
    <row r="407" customFormat="1" ht="15.75" customHeight="1" x14ac:dyDescent="0.2"/>
    <row r="408" customFormat="1" ht="15.75" customHeight="1" x14ac:dyDescent="0.2"/>
    <row r="409" customFormat="1" ht="15.75" customHeight="1" x14ac:dyDescent="0.2"/>
    <row r="410" customFormat="1" ht="15.75" customHeight="1" x14ac:dyDescent="0.2"/>
    <row r="411" customFormat="1" ht="15.75" customHeight="1" x14ac:dyDescent="0.2"/>
    <row r="412" customFormat="1" ht="15.75" customHeight="1" x14ac:dyDescent="0.2"/>
    <row r="413" customFormat="1" ht="15.75" customHeight="1" x14ac:dyDescent="0.2"/>
    <row r="414" customFormat="1" ht="15.75" customHeight="1" x14ac:dyDescent="0.2"/>
    <row r="415" customFormat="1" ht="15.75" customHeight="1" x14ac:dyDescent="0.2"/>
    <row r="416" customFormat="1" ht="15.75" customHeight="1" x14ac:dyDescent="0.2"/>
    <row r="417" customFormat="1" ht="15.75" customHeight="1" x14ac:dyDescent="0.2"/>
    <row r="418" customFormat="1" ht="15.75" customHeight="1" x14ac:dyDescent="0.2"/>
    <row r="419" customFormat="1" ht="15.75" customHeight="1" x14ac:dyDescent="0.2"/>
    <row r="420" customFormat="1" ht="15.75" customHeight="1" x14ac:dyDescent="0.2"/>
    <row r="421" customFormat="1" ht="15.75" customHeight="1" x14ac:dyDescent="0.2"/>
    <row r="422" customFormat="1" ht="15.75" customHeight="1" x14ac:dyDescent="0.2"/>
    <row r="423" customFormat="1" ht="15.75" customHeight="1" x14ac:dyDescent="0.2"/>
    <row r="424" customFormat="1" ht="15.75" customHeight="1" x14ac:dyDescent="0.2"/>
    <row r="425" customFormat="1" ht="15.75" customHeight="1" x14ac:dyDescent="0.2"/>
    <row r="426" customFormat="1" ht="15.75" customHeight="1" x14ac:dyDescent="0.2"/>
    <row r="427" customFormat="1" ht="15.75" customHeight="1" x14ac:dyDescent="0.2"/>
    <row r="428" customFormat="1" ht="15.75" customHeight="1" x14ac:dyDescent="0.2"/>
    <row r="429" customFormat="1" ht="15.75" customHeight="1" x14ac:dyDescent="0.2"/>
    <row r="430" customFormat="1" ht="15.75" customHeight="1" x14ac:dyDescent="0.2"/>
    <row r="431" customFormat="1" ht="15.75" customHeight="1" x14ac:dyDescent="0.2"/>
    <row r="432" customFormat="1" ht="15.75" customHeight="1" x14ac:dyDescent="0.2"/>
    <row r="433" customFormat="1" ht="15.75" customHeight="1" x14ac:dyDescent="0.2"/>
    <row r="434" customFormat="1" ht="15.75" customHeight="1" x14ac:dyDescent="0.2"/>
    <row r="435" customFormat="1" ht="15.75" customHeight="1" x14ac:dyDescent="0.2"/>
    <row r="436" customFormat="1" ht="15.75" customHeight="1" x14ac:dyDescent="0.2"/>
    <row r="437" customFormat="1" ht="15.75" customHeight="1" x14ac:dyDescent="0.2"/>
    <row r="438" customFormat="1" ht="15.75" customHeight="1" x14ac:dyDescent="0.2"/>
    <row r="439" customFormat="1" ht="15.75" customHeight="1" x14ac:dyDescent="0.2"/>
    <row r="440" customFormat="1" ht="15.75" customHeight="1" x14ac:dyDescent="0.2"/>
    <row r="441" customFormat="1" ht="15.75" customHeight="1" x14ac:dyDescent="0.2"/>
    <row r="442" customFormat="1" ht="15.75" customHeight="1" x14ac:dyDescent="0.2"/>
    <row r="443" customFormat="1" ht="15.75" customHeight="1" x14ac:dyDescent="0.2"/>
    <row r="444" customFormat="1" ht="15.75" customHeight="1" x14ac:dyDescent="0.2"/>
    <row r="445" customFormat="1" ht="15.75" customHeight="1" x14ac:dyDescent="0.2"/>
    <row r="446" customFormat="1" ht="15.75" customHeight="1" x14ac:dyDescent="0.2"/>
    <row r="447" customFormat="1" ht="15.75" customHeight="1" x14ac:dyDescent="0.2"/>
    <row r="448" customFormat="1" ht="15.75" customHeight="1" x14ac:dyDescent="0.2"/>
    <row r="449" customFormat="1" ht="15.75" customHeight="1" x14ac:dyDescent="0.2"/>
    <row r="450" customFormat="1" ht="15.75" customHeight="1" x14ac:dyDescent="0.2"/>
    <row r="451" customFormat="1" ht="15.75" customHeight="1" x14ac:dyDescent="0.2"/>
    <row r="452" customFormat="1" ht="15.75" customHeight="1" x14ac:dyDescent="0.2"/>
    <row r="453" customFormat="1" ht="15.75" customHeight="1" x14ac:dyDescent="0.2"/>
    <row r="454" customFormat="1" ht="15.75" customHeight="1" x14ac:dyDescent="0.2"/>
    <row r="455" customFormat="1" ht="15.75" customHeight="1" x14ac:dyDescent="0.2"/>
    <row r="456" customFormat="1" ht="15.75" customHeight="1" x14ac:dyDescent="0.2"/>
    <row r="457" customFormat="1" ht="15.75" customHeight="1" x14ac:dyDescent="0.2"/>
    <row r="458" customFormat="1" ht="15.75" customHeight="1" x14ac:dyDescent="0.2"/>
    <row r="459" customFormat="1" ht="15.75" customHeight="1" x14ac:dyDescent="0.2"/>
    <row r="460" customFormat="1" ht="15.75" customHeight="1" x14ac:dyDescent="0.2"/>
    <row r="461" customFormat="1" ht="15.75" customHeight="1" x14ac:dyDescent="0.2"/>
    <row r="462" customFormat="1" ht="15.75" customHeight="1" x14ac:dyDescent="0.2"/>
    <row r="463" customFormat="1" ht="15.75" customHeight="1" x14ac:dyDescent="0.2"/>
    <row r="464" customFormat="1" ht="15.75" customHeight="1" x14ac:dyDescent="0.2"/>
    <row r="465" customFormat="1" ht="15.75" customHeight="1" x14ac:dyDescent="0.2"/>
    <row r="466" customFormat="1" ht="15.75" customHeight="1" x14ac:dyDescent="0.2"/>
    <row r="467" customFormat="1" ht="15.75" customHeight="1" x14ac:dyDescent="0.2"/>
    <row r="468" customFormat="1" ht="15.75" customHeight="1" x14ac:dyDescent="0.2"/>
    <row r="469" customFormat="1" ht="15.75" customHeight="1" x14ac:dyDescent="0.2"/>
    <row r="470" customFormat="1" ht="15.75" customHeight="1" x14ac:dyDescent="0.2"/>
    <row r="471" customFormat="1" ht="15.75" customHeight="1" x14ac:dyDescent="0.2"/>
    <row r="472" customFormat="1" ht="15.75" customHeight="1" x14ac:dyDescent="0.2"/>
    <row r="473" customFormat="1" ht="15.75" customHeight="1" x14ac:dyDescent="0.2"/>
    <row r="474" customFormat="1" ht="15.75" customHeight="1" x14ac:dyDescent="0.2"/>
    <row r="475" customFormat="1" ht="15.75" customHeight="1" x14ac:dyDescent="0.2"/>
    <row r="476" customFormat="1" ht="15.75" customHeight="1" x14ac:dyDescent="0.2"/>
    <row r="477" customFormat="1" ht="15.75" customHeight="1" x14ac:dyDescent="0.2"/>
    <row r="478" customFormat="1" ht="15.75" customHeight="1" x14ac:dyDescent="0.2"/>
    <row r="479" customFormat="1" ht="15.75" customHeight="1" x14ac:dyDescent="0.2"/>
    <row r="480" customFormat="1" ht="15.75" customHeight="1" x14ac:dyDescent="0.2"/>
    <row r="481" customFormat="1" ht="15.75" customHeight="1" x14ac:dyDescent="0.2"/>
    <row r="482" customFormat="1" ht="15.75" customHeight="1" x14ac:dyDescent="0.2"/>
    <row r="483" customFormat="1" ht="15.75" customHeight="1" x14ac:dyDescent="0.2"/>
    <row r="484" customFormat="1" ht="15.75" customHeight="1" x14ac:dyDescent="0.2"/>
    <row r="485" customFormat="1" ht="15.75" customHeight="1" x14ac:dyDescent="0.2"/>
    <row r="486" customFormat="1" ht="15.75" customHeight="1" x14ac:dyDescent="0.2"/>
    <row r="487" customFormat="1" ht="15.75" customHeight="1" x14ac:dyDescent="0.2"/>
    <row r="488" customFormat="1" ht="15.75" customHeight="1" x14ac:dyDescent="0.2"/>
    <row r="489" customFormat="1" ht="15.75" customHeight="1" x14ac:dyDescent="0.2"/>
    <row r="490" customFormat="1" ht="15.75" customHeight="1" x14ac:dyDescent="0.2"/>
    <row r="491" customFormat="1" ht="15.75" customHeight="1" x14ac:dyDescent="0.2"/>
    <row r="492" customFormat="1" ht="15.75" customHeight="1" x14ac:dyDescent="0.2"/>
    <row r="493" customFormat="1" ht="15.75" customHeight="1" x14ac:dyDescent="0.2"/>
    <row r="494" customFormat="1" ht="15.75" customHeight="1" x14ac:dyDescent="0.2"/>
    <row r="495" customFormat="1" ht="15.75" customHeight="1" x14ac:dyDescent="0.2"/>
    <row r="496" customFormat="1" ht="15.75" customHeight="1" x14ac:dyDescent="0.2"/>
    <row r="497" customFormat="1" ht="15.75" customHeight="1" x14ac:dyDescent="0.2"/>
    <row r="498" customFormat="1" ht="15.75" customHeight="1" x14ac:dyDescent="0.2"/>
    <row r="499" customFormat="1" ht="15.75" customHeight="1" x14ac:dyDescent="0.2"/>
    <row r="500" customFormat="1" ht="15.75" customHeight="1" x14ac:dyDescent="0.2"/>
    <row r="501" customFormat="1" ht="15.75" customHeight="1" x14ac:dyDescent="0.2"/>
    <row r="502" customFormat="1" ht="15.75" customHeight="1" x14ac:dyDescent="0.2"/>
    <row r="503" customFormat="1" ht="15.75" customHeight="1" x14ac:dyDescent="0.2"/>
    <row r="504" customFormat="1" ht="15.75" customHeight="1" x14ac:dyDescent="0.2"/>
    <row r="505" customFormat="1" ht="15.75" customHeight="1" x14ac:dyDescent="0.2"/>
    <row r="506" customFormat="1" ht="15.75" customHeight="1" x14ac:dyDescent="0.2"/>
    <row r="507" customFormat="1" ht="15.75" customHeight="1" x14ac:dyDescent="0.2"/>
    <row r="508" customFormat="1" ht="15.75" customHeight="1" x14ac:dyDescent="0.2"/>
    <row r="509" customFormat="1" ht="15.75" customHeight="1" x14ac:dyDescent="0.2"/>
    <row r="510" customFormat="1" ht="15.75" customHeight="1" x14ac:dyDescent="0.2"/>
    <row r="511" customFormat="1" ht="15.75" customHeight="1" x14ac:dyDescent="0.2"/>
    <row r="512" customFormat="1" ht="15.75" customHeight="1" x14ac:dyDescent="0.2"/>
    <row r="513" customFormat="1" ht="15.75" customHeight="1" x14ac:dyDescent="0.2"/>
    <row r="514" customFormat="1" ht="15.75" customHeight="1" x14ac:dyDescent="0.2"/>
    <row r="515" customFormat="1" ht="15.75" customHeight="1" x14ac:dyDescent="0.2"/>
    <row r="516" customFormat="1" ht="15.75" customHeight="1" x14ac:dyDescent="0.2"/>
    <row r="517" customFormat="1" ht="15.75" customHeight="1" x14ac:dyDescent="0.2"/>
    <row r="518" customFormat="1" ht="15.75" customHeight="1" x14ac:dyDescent="0.2"/>
    <row r="519" customFormat="1" ht="15.75" customHeight="1" x14ac:dyDescent="0.2"/>
    <row r="520" customFormat="1" ht="15.75" customHeight="1" x14ac:dyDescent="0.2"/>
    <row r="521" customFormat="1" ht="15.75" customHeight="1" x14ac:dyDescent="0.2"/>
    <row r="522" customFormat="1" ht="15.75" customHeight="1" x14ac:dyDescent="0.2"/>
    <row r="523" customFormat="1" ht="15.75" customHeight="1" x14ac:dyDescent="0.2"/>
    <row r="524" customFormat="1" ht="15.75" customHeight="1" x14ac:dyDescent="0.2"/>
    <row r="525" customFormat="1" ht="15.75" customHeight="1" x14ac:dyDescent="0.2"/>
    <row r="526" customFormat="1" ht="15.75" customHeight="1" x14ac:dyDescent="0.2"/>
    <row r="527" customFormat="1" ht="15.75" customHeight="1" x14ac:dyDescent="0.2"/>
    <row r="528" customFormat="1" ht="15.75" customHeight="1" x14ac:dyDescent="0.2"/>
    <row r="529" customFormat="1" ht="15.75" customHeight="1" x14ac:dyDescent="0.2"/>
    <row r="530" customFormat="1" ht="15.75" customHeight="1" x14ac:dyDescent="0.2"/>
    <row r="531" customFormat="1" ht="15.75" customHeight="1" x14ac:dyDescent="0.2"/>
    <row r="532" customFormat="1" ht="15.75" customHeight="1" x14ac:dyDescent="0.2"/>
    <row r="533" customFormat="1" ht="15.75" customHeight="1" x14ac:dyDescent="0.2"/>
    <row r="534" customFormat="1" ht="15.75" customHeight="1" x14ac:dyDescent="0.2"/>
    <row r="535" customFormat="1" ht="15.75" customHeight="1" x14ac:dyDescent="0.2"/>
    <row r="536" customFormat="1" ht="15.75" customHeight="1" x14ac:dyDescent="0.2"/>
    <row r="537" customFormat="1" ht="15.75" customHeight="1" x14ac:dyDescent="0.2"/>
    <row r="538" customFormat="1" ht="15.75" customHeight="1" x14ac:dyDescent="0.2"/>
    <row r="539" customFormat="1" ht="15.75" customHeight="1" x14ac:dyDescent="0.2"/>
    <row r="540" customFormat="1" ht="15.75" customHeight="1" x14ac:dyDescent="0.2"/>
    <row r="541" customFormat="1" ht="15.75" customHeight="1" x14ac:dyDescent="0.2"/>
    <row r="542" customFormat="1" ht="15.75" customHeight="1" x14ac:dyDescent="0.2"/>
    <row r="543" customFormat="1" ht="15.75" customHeight="1" x14ac:dyDescent="0.2"/>
    <row r="544" customFormat="1" ht="15.75" customHeight="1" x14ac:dyDescent="0.2"/>
    <row r="545" customFormat="1" ht="15.75" customHeight="1" x14ac:dyDescent="0.2"/>
    <row r="546" customFormat="1" ht="15.75" customHeight="1" x14ac:dyDescent="0.2"/>
    <row r="547" customFormat="1" ht="15.75" customHeight="1" x14ac:dyDescent="0.2"/>
    <row r="548" customFormat="1" ht="15.75" customHeight="1" x14ac:dyDescent="0.2"/>
    <row r="549" customFormat="1" ht="15.75" customHeight="1" x14ac:dyDescent="0.2"/>
    <row r="550" customFormat="1" ht="15.75" customHeight="1" x14ac:dyDescent="0.2"/>
    <row r="551" customFormat="1" ht="15.75" customHeight="1" x14ac:dyDescent="0.2"/>
    <row r="552" customFormat="1" ht="15.75" customHeight="1" x14ac:dyDescent="0.2"/>
    <row r="553" customFormat="1" ht="15.75" customHeight="1" x14ac:dyDescent="0.2"/>
    <row r="554" customFormat="1" ht="15.75" customHeight="1" x14ac:dyDescent="0.2"/>
    <row r="555" customFormat="1" ht="15.75" customHeight="1" x14ac:dyDescent="0.2"/>
    <row r="556" customFormat="1" ht="15.75" customHeight="1" x14ac:dyDescent="0.2"/>
    <row r="557" customFormat="1" ht="15.75" customHeight="1" x14ac:dyDescent="0.2"/>
    <row r="558" customFormat="1" ht="15.75" customHeight="1" x14ac:dyDescent="0.2"/>
    <row r="559" customFormat="1" ht="15.75" customHeight="1" x14ac:dyDescent="0.2"/>
    <row r="560" customFormat="1" ht="15.75" customHeight="1" x14ac:dyDescent="0.2"/>
    <row r="561" customFormat="1" ht="15.75" customHeight="1" x14ac:dyDescent="0.2"/>
    <row r="562" customFormat="1" ht="15.75" customHeight="1" x14ac:dyDescent="0.2"/>
    <row r="563" customFormat="1" ht="15.75" customHeight="1" x14ac:dyDescent="0.2"/>
    <row r="564" customFormat="1" ht="15.75" customHeight="1" x14ac:dyDescent="0.2"/>
    <row r="565" customFormat="1" ht="15.75" customHeight="1" x14ac:dyDescent="0.2"/>
    <row r="566" customFormat="1" ht="15.75" customHeight="1" x14ac:dyDescent="0.2"/>
    <row r="567" customFormat="1" ht="15.75" customHeight="1" x14ac:dyDescent="0.2"/>
    <row r="568" customFormat="1" ht="15.75" customHeight="1" x14ac:dyDescent="0.2"/>
    <row r="569" customFormat="1" ht="15.75" customHeight="1" x14ac:dyDescent="0.2"/>
    <row r="570" customFormat="1" ht="15.75" customHeight="1" x14ac:dyDescent="0.2"/>
    <row r="571" customFormat="1" ht="15.75" customHeight="1" x14ac:dyDescent="0.2"/>
    <row r="572" customFormat="1" ht="15.75" customHeight="1" x14ac:dyDescent="0.2"/>
    <row r="573" customFormat="1" ht="15.75" customHeight="1" x14ac:dyDescent="0.2"/>
    <row r="574" customFormat="1" ht="15.75" customHeight="1" x14ac:dyDescent="0.2"/>
    <row r="575" customFormat="1" ht="15.75" customHeight="1" x14ac:dyDescent="0.2"/>
    <row r="576" customFormat="1" ht="15.75" customHeight="1" x14ac:dyDescent="0.2"/>
    <row r="577" customFormat="1" ht="15.75" customHeight="1" x14ac:dyDescent="0.2"/>
    <row r="578" customFormat="1" ht="15.75" customHeight="1" x14ac:dyDescent="0.2"/>
    <row r="579" customFormat="1" ht="15.75" customHeight="1" x14ac:dyDescent="0.2"/>
    <row r="580" customFormat="1" ht="15.75" customHeight="1" x14ac:dyDescent="0.2"/>
    <row r="581" customFormat="1" ht="15.75" customHeight="1" x14ac:dyDescent="0.2"/>
    <row r="582" customFormat="1" ht="15.75" customHeight="1" x14ac:dyDescent="0.2"/>
    <row r="583" customFormat="1" ht="15.75" customHeight="1" x14ac:dyDescent="0.2"/>
    <row r="584" customFormat="1" ht="15.75" customHeight="1" x14ac:dyDescent="0.2"/>
    <row r="585" customFormat="1" ht="15.75" customHeight="1" x14ac:dyDescent="0.2"/>
    <row r="586" customFormat="1" ht="15.75" customHeight="1" x14ac:dyDescent="0.2"/>
    <row r="587" customFormat="1" ht="15.75" customHeight="1" x14ac:dyDescent="0.2"/>
    <row r="588" customFormat="1" ht="15.75" customHeight="1" x14ac:dyDescent="0.2"/>
    <row r="589" customFormat="1" ht="15.75" customHeight="1" x14ac:dyDescent="0.2"/>
    <row r="590" customFormat="1" ht="15.75" customHeight="1" x14ac:dyDescent="0.2"/>
    <row r="591" customFormat="1" ht="15.75" customHeight="1" x14ac:dyDescent="0.2"/>
    <row r="592" customFormat="1" ht="15.75" customHeight="1" x14ac:dyDescent="0.2"/>
    <row r="593" customFormat="1" ht="15.75" customHeight="1" x14ac:dyDescent="0.2"/>
    <row r="594" customFormat="1" ht="15.75" customHeight="1" x14ac:dyDescent="0.2"/>
    <row r="595" customFormat="1" ht="15.75" customHeight="1" x14ac:dyDescent="0.2"/>
    <row r="596" customFormat="1" ht="15.75" customHeight="1" x14ac:dyDescent="0.2"/>
    <row r="597" customFormat="1" ht="15.75" customHeight="1" x14ac:dyDescent="0.2"/>
    <row r="598" customFormat="1" ht="15.75" customHeight="1" x14ac:dyDescent="0.2"/>
    <row r="599" customFormat="1" ht="15.75" customHeight="1" x14ac:dyDescent="0.2"/>
    <row r="600" customFormat="1" ht="15.75" customHeight="1" x14ac:dyDescent="0.2"/>
    <row r="601" customFormat="1" ht="15.75" customHeight="1" x14ac:dyDescent="0.2"/>
    <row r="602" customFormat="1" ht="15.75" customHeight="1" x14ac:dyDescent="0.2"/>
    <row r="603" customFormat="1" ht="15.75" customHeight="1" x14ac:dyDescent="0.2"/>
    <row r="604" customFormat="1" ht="15.75" customHeight="1" x14ac:dyDescent="0.2"/>
    <row r="605" customFormat="1" ht="15.75" customHeight="1" x14ac:dyDescent="0.2"/>
    <row r="606" customFormat="1" ht="15.75" customHeight="1" x14ac:dyDescent="0.2"/>
    <row r="607" customFormat="1" ht="15.75" customHeight="1" x14ac:dyDescent="0.2"/>
    <row r="608" customFormat="1" ht="15.75" customHeight="1" x14ac:dyDescent="0.2"/>
    <row r="609" customFormat="1" ht="15.75" customHeight="1" x14ac:dyDescent="0.2"/>
    <row r="610" customFormat="1" ht="15.75" customHeight="1" x14ac:dyDescent="0.2"/>
    <row r="611" customFormat="1" ht="15.75" customHeight="1" x14ac:dyDescent="0.2"/>
    <row r="612" customFormat="1" ht="15.75" customHeight="1" x14ac:dyDescent="0.2"/>
    <row r="613" customFormat="1" ht="15.75" customHeight="1" x14ac:dyDescent="0.2"/>
    <row r="614" customFormat="1" ht="15.75" customHeight="1" x14ac:dyDescent="0.2"/>
    <row r="615" customFormat="1" ht="15.75" customHeight="1" x14ac:dyDescent="0.2"/>
    <row r="616" customFormat="1" ht="15.75" customHeight="1" x14ac:dyDescent="0.2"/>
    <row r="617" customFormat="1" ht="15.75" customHeight="1" x14ac:dyDescent="0.2"/>
    <row r="618" customFormat="1" ht="15.75" customHeight="1" x14ac:dyDescent="0.2"/>
    <row r="619" customFormat="1" ht="15.75" customHeight="1" x14ac:dyDescent="0.2"/>
    <row r="620" customFormat="1" ht="15.75" customHeight="1" x14ac:dyDescent="0.2"/>
    <row r="621" customFormat="1" ht="15.75" customHeight="1" x14ac:dyDescent="0.2"/>
    <row r="622" customFormat="1" ht="15.75" customHeight="1" x14ac:dyDescent="0.2"/>
    <row r="623" customFormat="1" ht="15.75" customHeight="1" x14ac:dyDescent="0.2"/>
    <row r="624" customFormat="1" ht="15.75" customHeight="1" x14ac:dyDescent="0.2"/>
    <row r="625" customFormat="1" ht="15.75" customHeight="1" x14ac:dyDescent="0.2"/>
    <row r="626" customFormat="1" ht="15.75" customHeight="1" x14ac:dyDescent="0.2"/>
    <row r="627" customFormat="1" ht="15.75" customHeight="1" x14ac:dyDescent="0.2"/>
    <row r="628" customFormat="1" ht="15.75" customHeight="1" x14ac:dyDescent="0.2"/>
    <row r="629" customFormat="1" ht="15.75" customHeight="1" x14ac:dyDescent="0.2"/>
    <row r="630" customFormat="1" ht="15.75" customHeight="1" x14ac:dyDescent="0.2"/>
    <row r="631" customFormat="1" ht="15.75" customHeight="1" x14ac:dyDescent="0.2"/>
    <row r="632" customFormat="1" ht="15.75" customHeight="1" x14ac:dyDescent="0.2"/>
    <row r="633" customFormat="1" ht="15.75" customHeight="1" x14ac:dyDescent="0.2"/>
    <row r="634" customFormat="1" ht="15.75" customHeight="1" x14ac:dyDescent="0.2"/>
    <row r="635" customFormat="1" ht="15.75" customHeight="1" x14ac:dyDescent="0.2"/>
    <row r="636" customFormat="1" ht="15.75" customHeight="1" x14ac:dyDescent="0.2"/>
    <row r="637" customFormat="1" ht="15.75" customHeight="1" x14ac:dyDescent="0.2"/>
    <row r="638" customFormat="1" ht="15.75" customHeight="1" x14ac:dyDescent="0.2"/>
    <row r="639" customFormat="1" ht="15.75" customHeight="1" x14ac:dyDescent="0.2"/>
    <row r="640" customFormat="1" ht="15.75" customHeight="1" x14ac:dyDescent="0.2"/>
    <row r="641" customFormat="1" ht="15.75" customHeight="1" x14ac:dyDescent="0.2"/>
    <row r="642" customFormat="1" ht="15.75" customHeight="1" x14ac:dyDescent="0.2"/>
    <row r="643" customFormat="1" ht="15.75" customHeight="1" x14ac:dyDescent="0.2"/>
    <row r="644" customFormat="1" ht="15.75" customHeight="1" x14ac:dyDescent="0.2"/>
    <row r="645" customFormat="1" ht="15.75" customHeight="1" x14ac:dyDescent="0.2"/>
    <row r="646" customFormat="1" ht="15.75" customHeight="1" x14ac:dyDescent="0.2"/>
    <row r="647" customFormat="1" ht="15.75" customHeight="1" x14ac:dyDescent="0.2"/>
    <row r="648" customFormat="1" ht="15.75" customHeight="1" x14ac:dyDescent="0.2"/>
    <row r="649" customFormat="1" ht="15.75" customHeight="1" x14ac:dyDescent="0.2"/>
    <row r="650" customFormat="1" ht="15.75" customHeight="1" x14ac:dyDescent="0.2"/>
    <row r="651" customFormat="1" ht="15.75" customHeight="1" x14ac:dyDescent="0.2"/>
    <row r="652" customFormat="1" ht="15.75" customHeight="1" x14ac:dyDescent="0.2"/>
    <row r="653" customFormat="1" ht="15.75" customHeight="1" x14ac:dyDescent="0.2"/>
    <row r="654" customFormat="1" ht="15.75" customHeight="1" x14ac:dyDescent="0.2"/>
    <row r="655" customFormat="1" ht="15.75" customHeight="1" x14ac:dyDescent="0.2"/>
    <row r="656" customFormat="1" ht="15.75" customHeight="1" x14ac:dyDescent="0.2"/>
    <row r="657" customFormat="1" ht="15.75" customHeight="1" x14ac:dyDescent="0.2"/>
    <row r="658" customFormat="1" ht="15.75" customHeight="1" x14ac:dyDescent="0.2"/>
    <row r="659" customFormat="1" ht="15.75" customHeight="1" x14ac:dyDescent="0.2"/>
    <row r="660" customFormat="1" ht="15.75" customHeight="1" x14ac:dyDescent="0.2"/>
    <row r="661" customFormat="1" ht="15.75" customHeight="1" x14ac:dyDescent="0.2"/>
    <row r="662" customFormat="1" ht="15.75" customHeight="1" x14ac:dyDescent="0.2"/>
    <row r="663" customFormat="1" ht="15.75" customHeight="1" x14ac:dyDescent="0.2"/>
    <row r="664" customFormat="1" ht="15.75" customHeight="1" x14ac:dyDescent="0.2"/>
    <row r="665" customFormat="1" ht="15.75" customHeight="1" x14ac:dyDescent="0.2"/>
    <row r="666" customFormat="1" ht="15.75" customHeight="1" x14ac:dyDescent="0.2"/>
    <row r="667" customFormat="1" ht="15.75" customHeight="1" x14ac:dyDescent="0.2"/>
    <row r="668" customFormat="1" ht="15.75" customHeight="1" x14ac:dyDescent="0.2"/>
    <row r="669" customFormat="1" ht="15.75" customHeight="1" x14ac:dyDescent="0.2"/>
    <row r="670" customFormat="1" ht="15.75" customHeight="1" x14ac:dyDescent="0.2"/>
    <row r="671" customFormat="1" ht="15.75" customHeight="1" x14ac:dyDescent="0.2"/>
    <row r="672" customFormat="1" ht="15.75" customHeight="1" x14ac:dyDescent="0.2"/>
    <row r="673" customFormat="1" ht="15.75" customHeight="1" x14ac:dyDescent="0.2"/>
    <row r="674" customFormat="1" ht="15.75" customHeight="1" x14ac:dyDescent="0.2"/>
    <row r="675" customFormat="1" ht="15.75" customHeight="1" x14ac:dyDescent="0.2"/>
    <row r="676" customFormat="1" ht="15.75" customHeight="1" x14ac:dyDescent="0.2"/>
    <row r="677" customFormat="1" ht="15.75" customHeight="1" x14ac:dyDescent="0.2"/>
    <row r="678" customFormat="1" ht="15.75" customHeight="1" x14ac:dyDescent="0.2"/>
    <row r="679" customFormat="1" ht="15.75" customHeight="1" x14ac:dyDescent="0.2"/>
    <row r="680" customFormat="1" ht="15.75" customHeight="1" x14ac:dyDescent="0.2"/>
    <row r="681" customFormat="1" ht="15.75" customHeight="1" x14ac:dyDescent="0.2"/>
    <row r="682" customFormat="1" ht="15.75" customHeight="1" x14ac:dyDescent="0.2"/>
    <row r="683" customFormat="1" ht="15.75" customHeight="1" x14ac:dyDescent="0.2"/>
    <row r="684" customFormat="1" ht="15.75" customHeight="1" x14ac:dyDescent="0.2"/>
    <row r="685" customFormat="1" ht="15.75" customHeight="1" x14ac:dyDescent="0.2"/>
    <row r="686" customFormat="1" ht="15.75" customHeight="1" x14ac:dyDescent="0.2"/>
    <row r="687" customFormat="1" ht="15.75" customHeight="1" x14ac:dyDescent="0.2"/>
    <row r="688" customFormat="1" ht="15.75" customHeight="1" x14ac:dyDescent="0.2"/>
    <row r="689" customFormat="1" ht="15.75" customHeight="1" x14ac:dyDescent="0.2"/>
    <row r="690" customFormat="1" ht="15.75" customHeight="1" x14ac:dyDescent="0.2"/>
    <row r="691" customFormat="1" ht="15.75" customHeight="1" x14ac:dyDescent="0.2"/>
    <row r="692" customFormat="1" ht="15.75" customHeight="1" x14ac:dyDescent="0.2"/>
    <row r="693" customFormat="1" ht="15.75" customHeight="1" x14ac:dyDescent="0.2"/>
    <row r="694" customFormat="1" ht="15.75" customHeight="1" x14ac:dyDescent="0.2"/>
    <row r="695" customFormat="1" ht="15.75" customHeight="1" x14ac:dyDescent="0.2"/>
    <row r="696" customFormat="1" ht="15.75" customHeight="1" x14ac:dyDescent="0.2"/>
    <row r="697" customFormat="1" ht="15.75" customHeight="1" x14ac:dyDescent="0.2"/>
    <row r="698" customFormat="1" ht="15.75" customHeight="1" x14ac:dyDescent="0.2"/>
    <row r="699" customFormat="1" ht="15.75" customHeight="1" x14ac:dyDescent="0.2"/>
    <row r="700" customFormat="1" ht="15.75" customHeight="1" x14ac:dyDescent="0.2"/>
    <row r="701" customFormat="1" ht="15.75" customHeight="1" x14ac:dyDescent="0.2"/>
    <row r="702" customFormat="1" ht="15.75" customHeight="1" x14ac:dyDescent="0.2"/>
    <row r="703" customFormat="1" ht="15.75" customHeight="1" x14ac:dyDescent="0.2"/>
    <row r="704" customFormat="1" ht="15.75" customHeight="1" x14ac:dyDescent="0.2"/>
    <row r="705" customFormat="1" ht="15.75" customHeight="1" x14ac:dyDescent="0.2"/>
    <row r="706" customFormat="1" ht="15.75" customHeight="1" x14ac:dyDescent="0.2"/>
    <row r="707" customFormat="1" ht="15.75" customHeight="1" x14ac:dyDescent="0.2"/>
    <row r="708" customFormat="1" ht="15.75" customHeight="1" x14ac:dyDescent="0.2"/>
    <row r="709" customFormat="1" ht="15.75" customHeight="1" x14ac:dyDescent="0.2"/>
    <row r="710" customFormat="1" ht="15.75" customHeight="1" x14ac:dyDescent="0.2"/>
    <row r="711" customFormat="1" ht="15.75" customHeight="1" x14ac:dyDescent="0.2"/>
    <row r="712" customFormat="1" ht="15.75" customHeight="1" x14ac:dyDescent="0.2"/>
    <row r="713" customFormat="1" ht="15.75" customHeight="1" x14ac:dyDescent="0.2"/>
    <row r="714" customFormat="1" ht="15.75" customHeight="1" x14ac:dyDescent="0.2"/>
    <row r="715" customFormat="1" ht="15.75" customHeight="1" x14ac:dyDescent="0.2"/>
    <row r="716" customFormat="1" ht="15.75" customHeight="1" x14ac:dyDescent="0.2"/>
    <row r="717" customFormat="1" ht="15.75" customHeight="1" x14ac:dyDescent="0.2"/>
    <row r="718" customFormat="1" ht="15.75" customHeight="1" x14ac:dyDescent="0.2"/>
    <row r="719" customFormat="1" ht="15.75" customHeight="1" x14ac:dyDescent="0.2"/>
    <row r="720" customFormat="1" ht="15.75" customHeight="1" x14ac:dyDescent="0.2"/>
    <row r="721" customFormat="1" ht="15.75" customHeight="1" x14ac:dyDescent="0.2"/>
    <row r="722" customFormat="1" ht="15.75" customHeight="1" x14ac:dyDescent="0.2"/>
    <row r="723" customFormat="1" ht="15.75" customHeight="1" x14ac:dyDescent="0.2"/>
    <row r="724" customFormat="1" ht="15.75" customHeight="1" x14ac:dyDescent="0.2"/>
    <row r="725" customFormat="1" ht="15.75" customHeight="1" x14ac:dyDescent="0.2"/>
    <row r="726" customFormat="1" ht="15.75" customHeight="1" x14ac:dyDescent="0.2"/>
    <row r="727" customFormat="1" ht="15.75" customHeight="1" x14ac:dyDescent="0.2"/>
    <row r="728" customFormat="1" ht="15.75" customHeight="1" x14ac:dyDescent="0.2"/>
    <row r="729" customFormat="1" ht="15.75" customHeight="1" x14ac:dyDescent="0.2"/>
    <row r="730" customFormat="1" ht="15.75" customHeight="1" x14ac:dyDescent="0.2"/>
    <row r="731" customFormat="1" ht="15.75" customHeight="1" x14ac:dyDescent="0.2"/>
    <row r="732" customFormat="1" ht="15.75" customHeight="1" x14ac:dyDescent="0.2"/>
    <row r="733" customFormat="1" ht="15.75" customHeight="1" x14ac:dyDescent="0.2"/>
    <row r="734" customFormat="1" ht="15.75" customHeight="1" x14ac:dyDescent="0.2"/>
    <row r="735" customFormat="1" ht="15.75" customHeight="1" x14ac:dyDescent="0.2"/>
    <row r="736" customFormat="1" ht="15.75" customHeight="1" x14ac:dyDescent="0.2"/>
    <row r="737" customFormat="1" ht="15.75" customHeight="1" x14ac:dyDescent="0.2"/>
    <row r="738" customFormat="1" ht="15.75" customHeight="1" x14ac:dyDescent="0.2"/>
    <row r="739" customFormat="1" ht="15.75" customHeight="1" x14ac:dyDescent="0.2"/>
    <row r="740" customFormat="1" ht="15.75" customHeight="1" x14ac:dyDescent="0.2"/>
    <row r="741" customFormat="1" ht="15.75" customHeight="1" x14ac:dyDescent="0.2"/>
    <row r="742" customFormat="1" ht="15.75" customHeight="1" x14ac:dyDescent="0.2"/>
    <row r="743" customFormat="1" ht="15.75" customHeight="1" x14ac:dyDescent="0.2"/>
    <row r="744" customFormat="1" ht="15.75" customHeight="1" x14ac:dyDescent="0.2"/>
    <row r="745" customFormat="1" ht="15.75" customHeight="1" x14ac:dyDescent="0.2"/>
    <row r="746" customFormat="1" ht="15.75" customHeight="1" x14ac:dyDescent="0.2"/>
    <row r="747" customFormat="1" ht="15.75" customHeight="1" x14ac:dyDescent="0.2"/>
    <row r="748" customFormat="1" ht="15.75" customHeight="1" x14ac:dyDescent="0.2"/>
    <row r="749" customFormat="1" ht="15.75" customHeight="1" x14ac:dyDescent="0.2"/>
    <row r="750" customFormat="1" ht="15.75" customHeight="1" x14ac:dyDescent="0.2"/>
    <row r="751" customFormat="1" ht="15.75" customHeight="1" x14ac:dyDescent="0.2"/>
    <row r="752" customFormat="1" ht="15.75" customHeight="1" x14ac:dyDescent="0.2"/>
    <row r="753" customFormat="1" ht="15.75" customHeight="1" x14ac:dyDescent="0.2"/>
    <row r="754" customFormat="1" ht="15.75" customHeight="1" x14ac:dyDescent="0.2"/>
    <row r="755" customFormat="1" ht="15.75" customHeight="1" x14ac:dyDescent="0.2"/>
    <row r="756" customFormat="1" ht="15.75" customHeight="1" x14ac:dyDescent="0.2"/>
    <row r="757" customFormat="1" ht="15.75" customHeight="1" x14ac:dyDescent="0.2"/>
    <row r="758" customFormat="1" ht="15.75" customHeight="1" x14ac:dyDescent="0.2"/>
    <row r="759" customFormat="1" ht="15.75" customHeight="1" x14ac:dyDescent="0.2"/>
    <row r="760" customFormat="1" ht="15.75" customHeight="1" x14ac:dyDescent="0.2"/>
    <row r="761" customFormat="1" ht="15.75" customHeight="1" x14ac:dyDescent="0.2"/>
    <row r="762" customFormat="1" ht="15.75" customHeight="1" x14ac:dyDescent="0.2"/>
    <row r="763" customFormat="1" ht="15.75" customHeight="1" x14ac:dyDescent="0.2"/>
    <row r="764" customFormat="1" ht="15.75" customHeight="1" x14ac:dyDescent="0.2"/>
    <row r="765" customFormat="1" ht="15.75" customHeight="1" x14ac:dyDescent="0.2"/>
    <row r="766" customFormat="1" ht="15.75" customHeight="1" x14ac:dyDescent="0.2"/>
    <row r="767" customFormat="1" ht="15.75" customHeight="1" x14ac:dyDescent="0.2"/>
    <row r="768" customFormat="1" ht="15.75" customHeight="1" x14ac:dyDescent="0.2"/>
    <row r="769" customFormat="1" ht="15.75" customHeight="1" x14ac:dyDescent="0.2"/>
    <row r="770" customFormat="1" ht="15.75" customHeight="1" x14ac:dyDescent="0.2"/>
    <row r="771" customFormat="1" ht="15.75" customHeight="1" x14ac:dyDescent="0.2"/>
    <row r="772" customFormat="1" ht="15.75" customHeight="1" x14ac:dyDescent="0.2"/>
    <row r="773" customFormat="1" ht="15.75" customHeight="1" x14ac:dyDescent="0.2"/>
    <row r="774" customFormat="1" ht="15.75" customHeight="1" x14ac:dyDescent="0.2"/>
    <row r="775" customFormat="1" ht="15.75" customHeight="1" x14ac:dyDescent="0.2"/>
    <row r="776" customFormat="1" ht="15.75" customHeight="1" x14ac:dyDescent="0.2"/>
    <row r="777" customFormat="1" ht="15.75" customHeight="1" x14ac:dyDescent="0.2"/>
    <row r="778" customFormat="1" ht="15.75" customHeight="1" x14ac:dyDescent="0.2"/>
    <row r="779" customFormat="1" ht="15.75" customHeight="1" x14ac:dyDescent="0.2"/>
    <row r="780" customFormat="1" ht="15.75" customHeight="1" x14ac:dyDescent="0.2"/>
    <row r="781" customFormat="1" ht="15.75" customHeight="1" x14ac:dyDescent="0.2"/>
    <row r="782" customFormat="1" ht="15.75" customHeight="1" x14ac:dyDescent="0.2"/>
    <row r="783" customFormat="1" ht="15.75" customHeight="1" x14ac:dyDescent="0.2"/>
    <row r="784" customFormat="1" ht="15.75" customHeight="1" x14ac:dyDescent="0.2"/>
    <row r="785" customFormat="1" ht="15.75" customHeight="1" x14ac:dyDescent="0.2"/>
    <row r="786" customFormat="1" ht="15.75" customHeight="1" x14ac:dyDescent="0.2"/>
    <row r="787" customFormat="1" ht="15.75" customHeight="1" x14ac:dyDescent="0.2"/>
    <row r="788" customFormat="1" ht="15.75" customHeight="1" x14ac:dyDescent="0.2"/>
    <row r="789" customFormat="1" ht="15.75" customHeight="1" x14ac:dyDescent="0.2"/>
    <row r="790" customFormat="1" ht="15.75" customHeight="1" x14ac:dyDescent="0.2"/>
    <row r="791" customFormat="1" ht="15.75" customHeight="1" x14ac:dyDescent="0.2"/>
    <row r="792" customFormat="1" ht="15.75" customHeight="1" x14ac:dyDescent="0.2"/>
    <row r="793" customFormat="1" ht="15.75" customHeight="1" x14ac:dyDescent="0.2"/>
    <row r="794" customFormat="1" ht="15.75" customHeight="1" x14ac:dyDescent="0.2"/>
    <row r="795" customFormat="1" ht="15.75" customHeight="1" x14ac:dyDescent="0.2"/>
    <row r="796" customFormat="1" ht="15.75" customHeight="1" x14ac:dyDescent="0.2"/>
    <row r="797" customFormat="1" ht="15.75" customHeight="1" x14ac:dyDescent="0.2"/>
    <row r="798" customFormat="1" ht="15.75" customHeight="1" x14ac:dyDescent="0.2"/>
    <row r="799" customFormat="1" ht="15.75" customHeight="1" x14ac:dyDescent="0.2"/>
    <row r="800" customFormat="1" ht="15.75" customHeight="1" x14ac:dyDescent="0.2"/>
    <row r="801" customFormat="1" ht="15.75" customHeight="1" x14ac:dyDescent="0.2"/>
    <row r="802" customFormat="1" ht="15.75" customHeight="1" x14ac:dyDescent="0.2"/>
    <row r="803" customFormat="1" ht="15.75" customHeight="1" x14ac:dyDescent="0.2"/>
    <row r="804" customFormat="1" ht="15.75" customHeight="1" x14ac:dyDescent="0.2"/>
    <row r="805" customFormat="1" ht="15.75" customHeight="1" x14ac:dyDescent="0.2"/>
    <row r="806" customFormat="1" ht="15.75" customHeight="1" x14ac:dyDescent="0.2"/>
    <row r="807" customFormat="1" ht="15.75" customHeight="1" x14ac:dyDescent="0.2"/>
    <row r="808" customFormat="1" ht="15.75" customHeight="1" x14ac:dyDescent="0.2"/>
    <row r="809" customFormat="1" ht="15.75" customHeight="1" x14ac:dyDescent="0.2"/>
    <row r="810" customFormat="1" ht="15.75" customHeight="1" x14ac:dyDescent="0.2"/>
    <row r="811" customFormat="1" ht="15.75" customHeight="1" x14ac:dyDescent="0.2"/>
    <row r="812" customFormat="1" ht="15.75" customHeight="1" x14ac:dyDescent="0.2"/>
    <row r="813" customFormat="1" ht="15.75" customHeight="1" x14ac:dyDescent="0.2"/>
    <row r="814" customFormat="1" ht="15.75" customHeight="1" x14ac:dyDescent="0.2"/>
    <row r="815" customFormat="1" ht="15.75" customHeight="1" x14ac:dyDescent="0.2"/>
    <row r="816" customFormat="1" ht="15.75" customHeight="1" x14ac:dyDescent="0.2"/>
    <row r="817" customFormat="1" ht="15.75" customHeight="1" x14ac:dyDescent="0.2"/>
    <row r="818" customFormat="1" ht="15.75" customHeight="1" x14ac:dyDescent="0.2"/>
    <row r="819" customFormat="1" ht="15.75" customHeight="1" x14ac:dyDescent="0.2"/>
    <row r="820" customFormat="1" ht="15.75" customHeight="1" x14ac:dyDescent="0.2"/>
    <row r="821" customFormat="1" ht="15.75" customHeight="1" x14ac:dyDescent="0.2"/>
    <row r="822" customFormat="1" ht="15.75" customHeight="1" x14ac:dyDescent="0.2"/>
    <row r="823" customFormat="1" ht="15.75" customHeight="1" x14ac:dyDescent="0.2"/>
    <row r="824" customFormat="1" ht="15.75" customHeight="1" x14ac:dyDescent="0.2"/>
    <row r="825" customFormat="1" ht="15.75" customHeight="1" x14ac:dyDescent="0.2"/>
    <row r="826" customFormat="1" ht="15.75" customHeight="1" x14ac:dyDescent="0.2"/>
    <row r="827" customFormat="1" ht="15.75" customHeight="1" x14ac:dyDescent="0.2"/>
    <row r="828" customFormat="1" ht="15.75" customHeight="1" x14ac:dyDescent="0.2"/>
    <row r="829" customFormat="1" ht="15.75" customHeight="1" x14ac:dyDescent="0.2"/>
    <row r="830" customFormat="1" ht="15.75" customHeight="1" x14ac:dyDescent="0.2"/>
    <row r="831" customFormat="1" ht="15.75" customHeight="1" x14ac:dyDescent="0.2"/>
    <row r="832" customFormat="1" ht="15.75" customHeight="1" x14ac:dyDescent="0.2"/>
    <row r="833" customFormat="1" ht="15.75" customHeight="1" x14ac:dyDescent="0.2"/>
    <row r="834" customFormat="1" ht="15.75" customHeight="1" x14ac:dyDescent="0.2"/>
    <row r="835" customFormat="1" ht="15.75" customHeight="1" x14ac:dyDescent="0.2"/>
    <row r="836" customFormat="1" ht="15.75" customHeight="1" x14ac:dyDescent="0.2"/>
    <row r="837" customFormat="1" ht="15.75" customHeight="1" x14ac:dyDescent="0.2"/>
    <row r="838" customFormat="1" ht="15.75" customHeight="1" x14ac:dyDescent="0.2"/>
    <row r="839" customFormat="1" ht="15.75" customHeight="1" x14ac:dyDescent="0.2"/>
    <row r="840" customFormat="1" ht="15.75" customHeight="1" x14ac:dyDescent="0.2"/>
    <row r="841" customFormat="1" ht="15.75" customHeight="1" x14ac:dyDescent="0.2"/>
    <row r="842" customFormat="1" ht="15.75" customHeight="1" x14ac:dyDescent="0.2"/>
    <row r="843" customFormat="1" ht="15.75" customHeight="1" x14ac:dyDescent="0.2"/>
    <row r="844" customFormat="1" ht="15.75" customHeight="1" x14ac:dyDescent="0.2"/>
    <row r="845" customFormat="1" ht="15.75" customHeight="1" x14ac:dyDescent="0.2"/>
    <row r="846" customFormat="1" ht="15.75" customHeight="1" x14ac:dyDescent="0.2"/>
    <row r="847" customFormat="1" ht="15.75" customHeight="1" x14ac:dyDescent="0.2"/>
    <row r="848" customFormat="1" ht="15.75" customHeight="1" x14ac:dyDescent="0.2"/>
    <row r="849" customFormat="1" ht="15.75" customHeight="1" x14ac:dyDescent="0.2"/>
    <row r="850" customFormat="1" ht="15.75" customHeight="1" x14ac:dyDescent="0.2"/>
    <row r="851" customFormat="1" ht="15.75" customHeight="1" x14ac:dyDescent="0.2"/>
    <row r="852" customFormat="1" ht="15.75" customHeight="1" x14ac:dyDescent="0.2"/>
    <row r="853" customFormat="1" ht="15.75" customHeight="1" x14ac:dyDescent="0.2"/>
    <row r="854" customFormat="1" ht="15.75" customHeight="1" x14ac:dyDescent="0.2"/>
    <row r="855" customFormat="1" ht="15.75" customHeight="1" x14ac:dyDescent="0.2"/>
    <row r="856" customFormat="1" ht="15.75" customHeight="1" x14ac:dyDescent="0.2"/>
    <row r="857" customFormat="1" ht="15.75" customHeight="1" x14ac:dyDescent="0.2"/>
    <row r="858" customFormat="1" ht="15.75" customHeight="1" x14ac:dyDescent="0.2"/>
    <row r="859" customFormat="1" ht="15.75" customHeight="1" x14ac:dyDescent="0.2"/>
    <row r="860" customFormat="1" ht="15.75" customHeight="1" x14ac:dyDescent="0.2"/>
    <row r="861" customFormat="1" ht="15.75" customHeight="1" x14ac:dyDescent="0.2"/>
    <row r="862" customFormat="1" ht="15.75" customHeight="1" x14ac:dyDescent="0.2"/>
    <row r="863" customFormat="1" ht="15.75" customHeight="1" x14ac:dyDescent="0.2"/>
    <row r="864" customFormat="1" ht="15.75" customHeight="1" x14ac:dyDescent="0.2"/>
    <row r="865" customFormat="1" ht="15.75" customHeight="1" x14ac:dyDescent="0.2"/>
    <row r="866" customFormat="1" ht="15.75" customHeight="1" x14ac:dyDescent="0.2"/>
    <row r="867" customFormat="1" ht="15.75" customHeight="1" x14ac:dyDescent="0.2"/>
    <row r="868" customFormat="1" ht="15.75" customHeight="1" x14ac:dyDescent="0.2"/>
    <row r="869" customFormat="1" ht="15.75" customHeight="1" x14ac:dyDescent="0.2"/>
    <row r="870" customFormat="1" ht="15.75" customHeight="1" x14ac:dyDescent="0.2"/>
    <row r="871" customFormat="1" ht="15.75" customHeight="1" x14ac:dyDescent="0.2"/>
    <row r="872" customFormat="1" ht="15.75" customHeight="1" x14ac:dyDescent="0.2"/>
    <row r="873" customFormat="1" ht="15.75" customHeight="1" x14ac:dyDescent="0.2"/>
    <row r="874" customFormat="1" ht="15.75" customHeight="1" x14ac:dyDescent="0.2"/>
    <row r="875" customFormat="1" ht="15.75" customHeight="1" x14ac:dyDescent="0.2"/>
    <row r="876" customFormat="1" ht="15.75" customHeight="1" x14ac:dyDescent="0.2"/>
    <row r="877" customFormat="1" ht="15.75" customHeight="1" x14ac:dyDescent="0.2"/>
    <row r="878" customFormat="1" ht="15.75" customHeight="1" x14ac:dyDescent="0.2"/>
    <row r="879" customFormat="1" ht="15.75" customHeight="1" x14ac:dyDescent="0.2"/>
    <row r="880" customFormat="1" ht="15.75" customHeight="1" x14ac:dyDescent="0.2"/>
    <row r="881" customFormat="1" ht="15.75" customHeight="1" x14ac:dyDescent="0.2"/>
    <row r="882" customFormat="1" ht="15.75" customHeight="1" x14ac:dyDescent="0.2"/>
    <row r="883" customFormat="1" ht="15.75" customHeight="1" x14ac:dyDescent="0.2"/>
    <row r="884" customFormat="1" ht="15.75" customHeight="1" x14ac:dyDescent="0.2"/>
    <row r="885" customFormat="1" ht="15.75" customHeight="1" x14ac:dyDescent="0.2"/>
    <row r="886" customFormat="1" ht="15.75" customHeight="1" x14ac:dyDescent="0.2"/>
    <row r="887" customFormat="1" ht="15.75" customHeight="1" x14ac:dyDescent="0.2"/>
    <row r="888" customFormat="1" ht="15.75" customHeight="1" x14ac:dyDescent="0.2"/>
    <row r="889" customFormat="1" ht="15.75" customHeight="1" x14ac:dyDescent="0.2"/>
    <row r="890" customFormat="1" ht="15.75" customHeight="1" x14ac:dyDescent="0.2"/>
    <row r="891" customFormat="1" ht="15.75" customHeight="1" x14ac:dyDescent="0.2"/>
    <row r="892" customFormat="1" ht="15.75" customHeight="1" x14ac:dyDescent="0.2"/>
    <row r="893" customFormat="1" ht="15.75" customHeight="1" x14ac:dyDescent="0.2"/>
    <row r="894" customFormat="1" ht="15.75" customHeight="1" x14ac:dyDescent="0.2"/>
    <row r="895" customFormat="1" ht="15.75" customHeight="1" x14ac:dyDescent="0.2"/>
    <row r="896" customFormat="1" ht="15.75" customHeight="1" x14ac:dyDescent="0.2"/>
    <row r="897" customFormat="1" ht="15.75" customHeight="1" x14ac:dyDescent="0.2"/>
    <row r="898" customFormat="1" ht="15.75" customHeight="1" x14ac:dyDescent="0.2"/>
    <row r="899" customFormat="1" ht="15.75" customHeight="1" x14ac:dyDescent="0.2"/>
    <row r="900" customFormat="1" ht="15.75" customHeight="1" x14ac:dyDescent="0.2"/>
    <row r="901" customFormat="1" ht="15.75" customHeight="1" x14ac:dyDescent="0.2"/>
    <row r="902" customFormat="1" ht="15.75" customHeight="1" x14ac:dyDescent="0.2"/>
    <row r="903" customFormat="1" ht="15.75" customHeight="1" x14ac:dyDescent="0.2"/>
    <row r="904" customFormat="1" ht="15.75" customHeight="1" x14ac:dyDescent="0.2"/>
    <row r="905" customFormat="1" ht="15.75" customHeight="1" x14ac:dyDescent="0.2"/>
    <row r="906" customFormat="1" ht="15.75" customHeight="1" x14ac:dyDescent="0.2"/>
    <row r="907" customFormat="1" ht="15.75" customHeight="1" x14ac:dyDescent="0.2"/>
    <row r="908" customFormat="1" ht="15.75" customHeight="1" x14ac:dyDescent="0.2"/>
    <row r="909" customFormat="1" ht="15.75" customHeight="1" x14ac:dyDescent="0.2"/>
    <row r="910" customFormat="1" ht="15.75" customHeight="1" x14ac:dyDescent="0.2"/>
    <row r="911" customFormat="1" ht="15.75" customHeight="1" x14ac:dyDescent="0.2"/>
    <row r="912" customFormat="1" ht="15.75" customHeight="1" x14ac:dyDescent="0.2"/>
    <row r="913" customFormat="1" ht="15.75" customHeight="1" x14ac:dyDescent="0.2"/>
    <row r="914" customFormat="1" ht="15.75" customHeight="1" x14ac:dyDescent="0.2"/>
    <row r="915" customFormat="1" ht="15.75" customHeight="1" x14ac:dyDescent="0.2"/>
    <row r="916" customFormat="1" ht="15.75" customHeight="1" x14ac:dyDescent="0.2"/>
    <row r="917" customFormat="1" ht="15.75" customHeight="1" x14ac:dyDescent="0.2"/>
    <row r="918" customFormat="1" ht="15.75" customHeight="1" x14ac:dyDescent="0.2"/>
    <row r="919" customFormat="1" ht="15.75" customHeight="1" x14ac:dyDescent="0.2"/>
    <row r="920" customFormat="1" ht="15.75" customHeight="1" x14ac:dyDescent="0.2"/>
    <row r="921" customFormat="1" ht="15.75" customHeight="1" x14ac:dyDescent="0.2"/>
    <row r="922" customFormat="1" ht="15.75" customHeight="1" x14ac:dyDescent="0.2"/>
    <row r="923" customFormat="1" ht="15.75" customHeight="1" x14ac:dyDescent="0.2"/>
    <row r="924" customFormat="1" ht="15.75" customHeight="1" x14ac:dyDescent="0.2"/>
    <row r="925" customFormat="1" ht="15.75" customHeight="1" x14ac:dyDescent="0.2"/>
    <row r="926" customFormat="1" ht="15.75" customHeight="1" x14ac:dyDescent="0.2"/>
    <row r="927" customFormat="1" ht="15.75" customHeight="1" x14ac:dyDescent="0.2"/>
    <row r="928" customFormat="1" ht="15.75" customHeight="1" x14ac:dyDescent="0.2"/>
    <row r="929" customFormat="1" ht="15.75" customHeight="1" x14ac:dyDescent="0.2"/>
    <row r="930" customFormat="1" ht="15.75" customHeight="1" x14ac:dyDescent="0.2"/>
    <row r="931" customFormat="1" ht="15.75" customHeight="1" x14ac:dyDescent="0.2"/>
    <row r="932" customFormat="1" ht="15.75" customHeight="1" x14ac:dyDescent="0.2"/>
    <row r="933" customFormat="1" ht="15.75" customHeight="1" x14ac:dyDescent="0.2"/>
    <row r="934" customFormat="1" ht="15.75" customHeight="1" x14ac:dyDescent="0.2"/>
    <row r="935" customFormat="1" ht="15.75" customHeight="1" x14ac:dyDescent="0.2"/>
    <row r="936" customFormat="1" ht="15.75" customHeight="1" x14ac:dyDescent="0.2"/>
    <row r="937" customFormat="1" ht="15.75" customHeight="1" x14ac:dyDescent="0.2"/>
    <row r="938" customFormat="1" ht="15.75" customHeight="1" x14ac:dyDescent="0.2"/>
    <row r="939" customFormat="1" ht="15.75" customHeight="1" x14ac:dyDescent="0.2"/>
    <row r="940" customFormat="1" ht="15.75" customHeight="1" x14ac:dyDescent="0.2"/>
    <row r="941" customFormat="1" ht="15.75" customHeight="1" x14ac:dyDescent="0.2"/>
    <row r="942" customFormat="1" ht="15.75" customHeight="1" x14ac:dyDescent="0.2"/>
    <row r="943" customFormat="1" ht="15.75" customHeight="1" x14ac:dyDescent="0.2"/>
    <row r="944" customFormat="1" ht="15.75" customHeight="1" x14ac:dyDescent="0.2"/>
    <row r="945" customFormat="1" ht="15.75" customHeight="1" x14ac:dyDescent="0.2"/>
    <row r="946" customFormat="1" ht="15.75" customHeight="1" x14ac:dyDescent="0.2"/>
    <row r="947" customFormat="1" ht="15.75" customHeight="1" x14ac:dyDescent="0.2"/>
    <row r="948" customFormat="1" ht="15.75" customHeight="1" x14ac:dyDescent="0.2"/>
    <row r="949" customFormat="1" ht="15.75" customHeight="1" x14ac:dyDescent="0.2"/>
    <row r="950" customFormat="1" ht="15.75" customHeight="1" x14ac:dyDescent="0.2"/>
    <row r="951" customFormat="1" ht="15.75" customHeight="1" x14ac:dyDescent="0.2"/>
    <row r="952" customFormat="1" ht="15.75" customHeight="1" x14ac:dyDescent="0.2"/>
    <row r="953" customFormat="1" ht="15.75" customHeight="1" x14ac:dyDescent="0.2"/>
    <row r="954" customFormat="1" ht="15.75" customHeight="1" x14ac:dyDescent="0.2"/>
    <row r="955" customFormat="1" ht="15.75" customHeight="1" x14ac:dyDescent="0.2"/>
    <row r="956" customFormat="1" ht="15.75" customHeight="1" x14ac:dyDescent="0.2"/>
    <row r="957" customFormat="1" ht="15.75" customHeight="1" x14ac:dyDescent="0.2"/>
    <row r="958" customFormat="1" ht="15.75" customHeight="1" x14ac:dyDescent="0.2"/>
    <row r="959" customFormat="1" ht="15.75" customHeight="1" x14ac:dyDescent="0.2"/>
    <row r="960" customFormat="1" ht="15.75" customHeight="1" x14ac:dyDescent="0.2"/>
    <row r="961" customFormat="1" ht="15.75" customHeight="1" x14ac:dyDescent="0.2"/>
    <row r="962" customFormat="1" ht="15.75" customHeight="1" x14ac:dyDescent="0.2"/>
    <row r="963" customFormat="1" ht="15.75" customHeight="1" x14ac:dyDescent="0.2"/>
    <row r="964" customFormat="1" ht="15.75" customHeight="1" x14ac:dyDescent="0.2"/>
    <row r="965" customFormat="1" ht="15.75" customHeight="1" x14ac:dyDescent="0.2"/>
    <row r="966" customFormat="1" ht="15.75" customHeight="1" x14ac:dyDescent="0.2"/>
    <row r="967" customFormat="1" ht="15.75" customHeight="1" x14ac:dyDescent="0.2"/>
    <row r="968" customFormat="1" ht="15.75" customHeight="1" x14ac:dyDescent="0.2"/>
    <row r="969" customFormat="1" ht="15.75" customHeight="1" x14ac:dyDescent="0.2"/>
    <row r="970" customFormat="1" ht="15.75" customHeight="1" x14ac:dyDescent="0.2"/>
    <row r="971" customFormat="1" ht="15.75" customHeight="1" x14ac:dyDescent="0.2"/>
    <row r="972" customFormat="1" ht="15.75" customHeight="1" x14ac:dyDescent="0.2"/>
    <row r="973" customFormat="1" ht="15.75" customHeight="1" x14ac:dyDescent="0.2"/>
    <row r="974" customFormat="1" ht="15.75" customHeight="1" x14ac:dyDescent="0.2"/>
    <row r="975" customFormat="1" ht="15.75" customHeight="1" x14ac:dyDescent="0.2"/>
    <row r="976" customFormat="1" ht="15.75" customHeight="1" x14ac:dyDescent="0.2"/>
    <row r="977" customFormat="1" ht="15.75" customHeight="1" x14ac:dyDescent="0.2"/>
    <row r="978" customFormat="1" ht="15.75" customHeight="1" x14ac:dyDescent="0.2"/>
    <row r="979" customFormat="1" ht="15.75" customHeight="1" x14ac:dyDescent="0.2"/>
    <row r="980" customFormat="1" ht="15.75" customHeight="1" x14ac:dyDescent="0.2"/>
    <row r="981" customFormat="1" ht="15.75" customHeight="1" x14ac:dyDescent="0.2"/>
    <row r="982" customFormat="1" ht="15.75" customHeight="1" x14ac:dyDescent="0.2"/>
    <row r="983" customFormat="1" ht="15.75" customHeight="1" x14ac:dyDescent="0.2"/>
    <row r="984" customFormat="1" ht="15.75" customHeight="1" x14ac:dyDescent="0.2"/>
    <row r="985" customFormat="1" ht="15.75" customHeight="1" x14ac:dyDescent="0.2"/>
    <row r="986" customFormat="1" ht="15.75" customHeight="1" x14ac:dyDescent="0.2"/>
    <row r="987" customFormat="1" ht="15.75" customHeight="1" x14ac:dyDescent="0.2"/>
    <row r="988" customFormat="1" ht="15.75" customHeight="1" x14ac:dyDescent="0.2"/>
    <row r="989" customFormat="1" ht="15.75" customHeight="1" x14ac:dyDescent="0.2"/>
    <row r="990" customFormat="1" ht="15.75" customHeight="1" x14ac:dyDescent="0.2"/>
    <row r="991" customFormat="1" ht="15.75" customHeight="1" x14ac:dyDescent="0.2"/>
    <row r="992" customFormat="1" ht="15.75" customHeight="1" x14ac:dyDescent="0.2"/>
    <row r="993" customFormat="1" ht="15.75" customHeight="1" x14ac:dyDescent="0.2"/>
    <row r="994" customFormat="1" ht="15.75" customHeight="1" x14ac:dyDescent="0.2"/>
    <row r="995" customFormat="1" ht="15.75" customHeight="1" x14ac:dyDescent="0.2"/>
    <row r="996" customFormat="1" ht="15.75" customHeight="1" x14ac:dyDescent="0.2"/>
    <row r="997" customFormat="1" ht="15.75" customHeight="1" x14ac:dyDescent="0.2"/>
    <row r="998" customFormat="1" ht="15.75" customHeight="1" x14ac:dyDescent="0.2"/>
    <row r="999" customFormat="1" ht="15.75" customHeight="1" x14ac:dyDescent="0.2"/>
    <row r="1000" customFormat="1" ht="15.75" customHeight="1" x14ac:dyDescent="0.2"/>
    <row r="1001" customFormat="1" ht="15.75" customHeight="1" x14ac:dyDescent="0.2"/>
  </sheetData>
  <mergeCells count="29">
    <mergeCell ref="B64:E65"/>
    <mergeCell ref="B57:G57"/>
    <mergeCell ref="B55:G56"/>
    <mergeCell ref="A55:A56"/>
    <mergeCell ref="M26:N26"/>
    <mergeCell ref="L36:M36"/>
    <mergeCell ref="B58:E59"/>
    <mergeCell ref="B61:G62"/>
    <mergeCell ref="A61:A62"/>
    <mergeCell ref="B42:E42"/>
    <mergeCell ref="B40:G40"/>
    <mergeCell ref="B37:E38"/>
    <mergeCell ref="L28:N28"/>
    <mergeCell ref="L30:L34"/>
    <mergeCell ref="M30:N34"/>
    <mergeCell ref="L1:N1"/>
    <mergeCell ref="L18:N18"/>
    <mergeCell ref="M20:N20"/>
    <mergeCell ref="M22:N22"/>
    <mergeCell ref="M24:N24"/>
    <mergeCell ref="M3:N3"/>
    <mergeCell ref="M5:N5"/>
    <mergeCell ref="M8:N8"/>
    <mergeCell ref="M12:N12"/>
    <mergeCell ref="B51:G51"/>
    <mergeCell ref="B53:G53"/>
    <mergeCell ref="B44:G44"/>
    <mergeCell ref="B46:G46"/>
    <mergeCell ref="B48:E49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62A76-2DF3-454C-BDEC-7E21E2FFBB7F}">
  <sheetPr>
    <outlinePr summaryBelow="0" summaryRight="0"/>
  </sheetPr>
  <dimension ref="A1:F1000"/>
  <sheetViews>
    <sheetView showGridLines="0" topLeftCell="A9" workbookViewId="0">
      <selection activeCell="J20" sqref="J20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6" ht="15.75" customHeight="1" x14ac:dyDescent="0.25">
      <c r="A1" s="1" t="s">
        <v>0</v>
      </c>
    </row>
    <row r="2" spans="1:6" ht="15.75" customHeight="1" x14ac:dyDescent="0.25">
      <c r="A2" s="1"/>
    </row>
    <row r="3" spans="1:6" ht="15.75" customHeight="1" x14ac:dyDescent="0.25">
      <c r="B3" s="2" t="s">
        <v>1</v>
      </c>
    </row>
    <row r="4" spans="1:6" ht="15.75" customHeight="1" x14ac:dyDescent="0.25">
      <c r="B4" s="3"/>
      <c r="C4" s="4" t="s">
        <v>2</v>
      </c>
      <c r="D4" s="3"/>
    </row>
    <row r="5" spans="1:6" ht="15.75" customHeight="1" x14ac:dyDescent="0.25">
      <c r="B5" s="3"/>
      <c r="C5" s="4" t="s">
        <v>3</v>
      </c>
      <c r="D5" s="5"/>
      <c r="E5" s="5"/>
      <c r="F5" s="5"/>
    </row>
    <row r="6" spans="1:6" ht="15.75" customHeight="1" x14ac:dyDescent="0.25">
      <c r="B6" s="5"/>
      <c r="C6" s="4" t="s">
        <v>4</v>
      </c>
      <c r="D6" s="5"/>
      <c r="E6" s="5"/>
      <c r="F6" s="5"/>
    </row>
    <row r="7" spans="1:6" ht="15.75" customHeight="1" x14ac:dyDescent="0.25">
      <c r="B7" s="5"/>
      <c r="C7" s="5"/>
      <c r="D7" s="5"/>
      <c r="E7" s="5"/>
      <c r="F7" s="5"/>
    </row>
    <row r="8" spans="1:6" ht="15.75" customHeight="1" x14ac:dyDescent="0.25">
      <c r="B8" s="2" t="s">
        <v>5</v>
      </c>
      <c r="C8" s="6"/>
    </row>
    <row r="9" spans="1:6" ht="15.75" customHeight="1" x14ac:dyDescent="0.25">
      <c r="B9" s="6"/>
      <c r="C9" s="4" t="s">
        <v>6</v>
      </c>
      <c r="D9" s="3"/>
    </row>
    <row r="10" spans="1:6" ht="15.75" customHeight="1" x14ac:dyDescent="0.25">
      <c r="B10" s="6"/>
      <c r="C10" s="4" t="s">
        <v>7</v>
      </c>
    </row>
    <row r="11" spans="1:6" ht="15.75" customHeight="1" x14ac:dyDescent="0.25">
      <c r="C11" s="5"/>
    </row>
    <row r="12" spans="1:6" ht="15.75" customHeight="1" x14ac:dyDescent="0.25">
      <c r="B12" s="2" t="s">
        <v>8</v>
      </c>
      <c r="C12" s="6"/>
    </row>
    <row r="13" spans="1:6" ht="15.75" customHeight="1" x14ac:dyDescent="0.25">
      <c r="A13" s="3"/>
      <c r="B13" s="6"/>
      <c r="C13" s="4" t="s">
        <v>9</v>
      </c>
    </row>
    <row r="14" spans="1:6" ht="15.75" customHeight="1" x14ac:dyDescent="0.25">
      <c r="B14" s="7"/>
    </row>
    <row r="15" spans="1:6" ht="15.75" customHeight="1" x14ac:dyDescent="0.25">
      <c r="B15" s="3" t="s">
        <v>10</v>
      </c>
    </row>
    <row r="16" spans="1:6" ht="15.75" customHeight="1" x14ac:dyDescent="0.25">
      <c r="C16" s="5" t="s">
        <v>11</v>
      </c>
    </row>
    <row r="17" spans="2:3" ht="15.75" customHeight="1" x14ac:dyDescent="0.25">
      <c r="C17" s="5" t="s">
        <v>12</v>
      </c>
    </row>
    <row r="18" spans="2:3" ht="15.75" customHeight="1" x14ac:dyDescent="0.25">
      <c r="B18" s="7"/>
    </row>
    <row r="19" spans="2:3" ht="15.75" customHeight="1" x14ac:dyDescent="0.25">
      <c r="B19" s="3" t="s">
        <v>13</v>
      </c>
    </row>
    <row r="20" spans="2:3" ht="15.75" customHeight="1" x14ac:dyDescent="0.25">
      <c r="C20" s="5" t="s">
        <v>14</v>
      </c>
    </row>
    <row r="21" spans="2:3" ht="15.75" customHeight="1" x14ac:dyDescent="0.25">
      <c r="C21" s="5" t="s">
        <v>15</v>
      </c>
    </row>
    <row r="22" spans="2:3" ht="15.75" customHeight="1" x14ac:dyDescent="0.25">
      <c r="C22" s="5" t="s">
        <v>16</v>
      </c>
    </row>
    <row r="23" spans="2:3" ht="15.75" customHeight="1" x14ac:dyDescent="0.25">
      <c r="B23" s="7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ASSINMENT 1</vt:lpstr>
      <vt:lpstr>Instructions 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xx4236</dc:creator>
  <cp:lastModifiedBy>xx4236</cp:lastModifiedBy>
  <dcterms:created xsi:type="dcterms:W3CDTF">2026-09-18T08:57:57Z</dcterms:created>
  <dcterms:modified xsi:type="dcterms:W3CDTF">2026-09-18T08:59:52Z</dcterms:modified>
</cp:coreProperties>
</file>